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atta\SaleforceOxletauto\deploy\"/>
    </mc:Choice>
  </mc:AlternateContent>
  <xr:revisionPtr revIDLastSave="0" documentId="13_ncr:1_{003B802B-EB4E-46F1-A1DC-16D76757A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อ่านก่อน" sheetId="1" r:id="rId1"/>
    <sheet name="ตาราง" sheetId="2" r:id="rId2"/>
    <sheet name="คอลัมน์" sheetId="3" r:id="rId3"/>
    <sheet name="ความสัมพันธ์" sheetId="4" r:id="rId4"/>
    <sheet name="View" sheetId="5" r:id="rId5"/>
    <sheet name="อยากรู้อะไร→ดูที่ไหน" sheetId="6" r:id="rId6"/>
    <sheet name="คีย์ใน dash_kv" sheetId="7" r:id="rId7"/>
  </sheets>
  <definedNames>
    <definedName name="_xlnm._FilterDatabase" localSheetId="3" hidden="1">ความสัมพันธ์!$A$4:$F$53</definedName>
    <definedName name="_xlnm._FilterDatabase" localSheetId="2" hidden="1">คอลัมน์!$A$4:$J$586</definedName>
    <definedName name="_xlnm._FilterDatabase" localSheetId="1" hidden="1">ตาราง!$A$4:$O$56</definedName>
    <definedName name="_xlnm.Print_Titles" localSheetId="4">View!$4:$4</definedName>
    <definedName name="_xlnm.Print_Titles" localSheetId="3">ความสัมพันธ์!$4:$4</definedName>
    <definedName name="_xlnm.Print_Titles" localSheetId="2">คอลัมน์!$4:$4</definedName>
    <definedName name="_xlnm.Print_Titles" localSheetId="6">'คีย์ใน dash_kv'!$4:$4</definedName>
    <definedName name="_xlnm.Print_Titles" localSheetId="1">ตาราง!$4:$4</definedName>
    <definedName name="_xlnm.Print_Titles" localSheetId="5">อยากรู้อะไร→ดูที่ไหน!$4:$4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7" i="2" l="1"/>
  <c r="G57" i="2"/>
  <c r="B8" i="1" s="1"/>
  <c r="F57" i="2"/>
  <c r="B7" i="1" s="1"/>
  <c r="B10" i="1"/>
  <c r="B9" i="1"/>
  <c r="B6" i="1"/>
</calcChain>
</file>

<file path=xl/sharedStrings.xml><?xml version="1.0" encoding="utf-8"?>
<sst xmlns="http://schemas.openxmlformats.org/spreadsheetml/2006/main" count="4906" uniqueCount="1322">
  <si>
    <t>พจนานุกรมข้อมูล (Data Dictionary) — ฐานข้อมูล Oxlet Auto</t>
  </si>
  <si>
    <t>สถานะ ณ 3 ต.ค. 2569 · PostgreSQL 16.15 · ฐานข้อมูลชื่อ oxlet</t>
  </si>
  <si>
    <t>ภาพรวม</t>
  </si>
  <si>
    <t>จำนวนตาราง</t>
  </si>
  <si>
    <t>จำนวนแถวรวม</t>
  </si>
  <si>
    <t>ขนาดรวม</t>
  </si>
  <si>
    <t>ตารางที่มีข้อมูลส่วนบุคคล</t>
  </si>
  <si>
    <t>ตารางที่บัญชี ro_safe เห็น</t>
  </si>
  <si>
    <t>แท็บในไฟล์นี้</t>
  </si>
  <si>
    <t>ตาราง</t>
  </si>
  <si>
    <t>สารบัญทุกตาราง — เก็บอะไร · กี่แถว · ข้อมูลตั้งแต่เมื่อไหร่ · มีข้อมูลส่วนบุคคลไหม · เก็บนานแค่ไหน</t>
  </si>
  <si>
    <t>คอลัมน์</t>
  </si>
  <si>
    <t>ทุกคอลัมน์ของทุกตาราง (582 คอลัมน์) — ชนิดข้อมูล · ความหมายภาษาไทย · ค่าที่เป็นไปได้ · คีย์ · ช่องที่อ่อนไหว</t>
  </si>
  <si>
    <t>ความสัมพันธ์</t>
  </si>
  <si>
    <t>ตารางไหน join กับตารางไหนด้วยคอลัมน์อะไร (รวมที่ไม่ได้ผูก FK แต่ใช้ join ได้)</t>
  </si>
  <si>
    <t>View</t>
  </si>
  <si>
    <t>ตารางเสมือนที่ join ไว้ให้แล้ว เช่น v_group_chat (แชทพร้อมชื่อกลุ่ม ไม่มี LINE id)</t>
  </si>
  <si>
    <t>อยากรู้อะไร→ดูที่ไหน</t>
  </si>
  <si>
    <t>คำถามที่เจอบ่อย → ตารางที่ต้องเปิด</t>
  </si>
  <si>
    <t>คีย์ใน dash_kv</t>
  </si>
  <si>
    <t>ข้างในตารางค่าตั้งของระบบ</t>
  </si>
  <si>
    <t>ป้ายสี</t>
  </si>
  <si>
    <t>สีส้ม</t>
  </si>
  <si>
    <t>มีข้อมูลส่วนบุคคล (ชื่อคน · เบอร์ · LINE user id · บทสนทนา) — ใช้เท่าที่จำเป็น ห้ามก๊อปออกไปเก็บที่อื่น</t>
  </si>
  <si>
    <t>สีเขียว</t>
  </si>
  <si>
    <t>บัญชีระดับ ro_safe (เห็นเฉพาะตัวเลขโซเชียล/โฆษณา/สต็อกรถ) อ่านตารางนี้ได้ · บัญชี ro_all อ่านได้ทุกตาราง</t>
  </si>
  <si>
    <t>สีเหลือง</t>
  </si>
  <si>
    <t>เชื่อมด้วยการเทียบค่า (ไม่มี FK) หรือยังไม่มีคำอธิบาย</t>
  </si>
  <si>
    <t>สีเทา</t>
  </si>
  <si>
    <t>ตารางที่ยังไม่มีข้อมูล</t>
  </si>
  <si>
    <t>⚠ สิ่งที่ไม่ได้อยู่ในฐานข้อมูลนี้ (อ่านก่อนสรุปว่า "ระบบเก็บแค่นี้")</t>
  </si>
  <si>
    <t>ข้อมูลการขาย · ลีด · ยอดจอง/ปล่อยรถ · เป้าเซลล์</t>
  </si>
  <si>
    <t>Google Sheets</t>
  </si>
  <si>
    <t>รูปรถ · วิดีโอ · เอกสาร</t>
  </si>
  <si>
    <t>Google Drive (ในฐานข้อมูลเก็บแค่ id ที่ชี้ไป)</t>
  </si>
  <si>
    <t>ไฟล์รูปในแชท LINE</t>
  </si>
  <si>
    <t>อยู่ที่ LINE (เก็บแค่ message_id + ธง has_media)</t>
  </si>
  <si>
    <t>★ อ่านตัวเลขให้ถูก — กับดักที่เจอมาแล้วจริง</t>
  </si>
  <si>
    <t>ตาราง *_snapshot เก็บ "ยอดสะสม" ไม่ใช่ยอดรายวัน</t>
  </si>
  <si>
    <t>ยอดของวันนั้น = ค่าวันนี้ − ค่าเมื่อวาน · นับเฉพาะแถว trigger = 'cron' · วันเดียวกันมีหลายแถวได้ ให้หยิบแถวที่ดึงล่าสุด · ผลต่างติดลบไม่นับ · ต้องมีอย่างน้อย 2 วัน</t>
  </si>
  <si>
    <t>อยากได้ยอดรายวันเลย → ใช้ dash_social_daily</t>
  </si>
  <si>
    <t>คำนวณไว้แล้ว 1 แถว = โพสต์/คลิป 1 ชิ้น × 1 วัน · มีทั้งยอดที่เพิ่มวันนั้น (views…) และยอดสะสม (cum_…)</t>
  </si>
  <si>
    <t>ต้นทุนต่อหน่วย ต้องคิดจากผลรวมหารผลรวม</t>
  </si>
  <si>
    <t>sum(spend) / nullif(sum(chats), 0) — ห้าม avg(spend/chats) (วัดจริงต่างกัน 61.31 กับ 62.49 บาท)</t>
  </si>
  <si>
    <t>YouTube ไม่มียอดแชร์</t>
  </si>
  <si>
    <t>API ไม่ให้ → shares = 0 เสมอ ไม่ใช่บั๊ก</t>
  </si>
  <si>
    <t>ข้อมูลบางตารางมีวันหมดอายุ (PDPA)</t>
  </si>
  <si>
    <t>แชทกลุ่ม 90 วัน · แชทลูกค้า 60 วัน · ข้อมูลดิบจาก API 90 วัน · ล็อกเหตุการณ์ 90 วัน — นับย้อนหลังเกินนั้นไม่ได้ (ดูคอลัมน์ 'อายุข้อมูล' แท็บตาราง)</t>
  </si>
  <si>
    <t>LINE user id ของคนเดียวกันต่างกันตามบอท</t>
  </si>
  <si>
    <t>count(distinct sender_id) ≠ จำนวนคน — ดูคอลัมน์ channel ประกอบ หรือนับด้วย employee_id / ชื่อเล่น</t>
  </si>
  <si>
    <t>ตัวเลขการขาย (ลีด/จอง/ปล่อย) ไม่ได้อยู่ในฐานข้อมูลนี้</t>
  </si>
  <si>
    <t>อยู่ใน Google Sheets · ในนี้มีแค่สรุปรายสัปดาห์ (dash_seller_weekly) และสถิติการทวงงาน</t>
  </si>
  <si>
    <t>วิธีต่อเข้าฐานข้อมูล</t>
  </si>
  <si>
    <t>ช่องทาง</t>
  </si>
  <si>
    <t>ฐานข้อมูลไม่เปิดออกอินเทอร์เน็ต — ต่อผ่านอุโมงค์ SSH เท่านั้น (คีย์ SSH + บัญชีฐานข้อมูลได้จากผู้ดูแลระบบ)</t>
  </si>
  <si>
    <t>ขั้นที่ 1 เปิดอุโมงค์</t>
  </si>
  <si>
    <t>ssh -i &lt;ไฟล์คีย์&gt; -N -L 15432:127.0.0.1:5432 &lt;บัญชี ssh&gt;@srv1793506.hstgr.cloud</t>
  </si>
  <si>
    <t>ขั้นที่ 2 ต่อฐานข้อมูล</t>
  </si>
  <si>
    <t>Host 127.0.0.1 · Port 15432 · Database oxlet · User/Password ตามที่ได้รับ · ไม่ต้องใช้ SSL</t>
  </si>
  <si>
    <t>เครื่องมือที่ใช้ได้</t>
  </si>
  <si>
    <t>psql · DBeaver · pgAdmin · Power BI · Excel · Metabase</t>
  </si>
  <si>
    <t>อ่านอย่างเดียว</t>
  </si>
  <si>
    <t>แก้/ลบข้อมูลไม่ได้ (ถูกปฏิเสธที่ระดับสิทธิ์)</t>
  </si>
  <si>
    <t>คำสั่งเกิน 30 วินาทีถูกตัด</t>
  </si>
  <si>
    <t>ใส่ WHERE จำกัดช่วงวันที่ หรือ LIMIT</t>
  </si>
  <si>
    <t>1 คน = 1 บัญชี</t>
  </si>
  <si>
    <t>ห้ามใช้ร่วมกัน/ส่งต่อ · ทุกคำสั่งมีชื่อบัญชีกำกับในล็อก</t>
  </si>
  <si>
    <t>เวลา</t>
  </si>
  <si>
    <t>เซิร์ฟเวอร์ตั้งโซนเวลาเป็น UTC — อยากเห็นเวลาไทยให้สั่ง  SET TIME ZONE 'Asia/Bangkok';  ก่อน query (หรือใช้ col AT TIME ZONE 'Asia/Bangkok') · ช่วงวันที่ในไฟล์นี้นับตามเวลาไทยแล้ว</t>
  </si>
  <si>
    <t>สารบัญตาราง — แต่ละตารางเก็บอะไร</t>
  </si>
  <si>
    <t>สถานะ ณ 3 ต.ค. 2569 · จำนวนแถว/ช่วงวันที่นับจากฐานข้อมูลจริง · สีส้ม = มีข้อมูลส่วนบุคคล · สีเขียว = บัญชี ro_safe เห็นได้</t>
  </si>
  <si>
    <t>#</t>
  </si>
  <si>
    <t>กลุ่ม</t>
  </si>
  <si>
    <t>ชื่อตาราง</t>
  </si>
  <si>
    <t>ชื่อภาษาไทย</t>
  </si>
  <si>
    <t>เก็บอะไร</t>
  </si>
  <si>
    <t>จำนวนแถว</t>
  </si>
  <si>
    <t>ขนาด (MB)</t>
  </si>
  <si>
    <t>ข้อมูลตั้งแต่</t>
  </si>
  <si>
    <t>ถึงวันที่</t>
  </si>
  <si>
    <t>นับช่วงวันที่จาก</t>
  </si>
  <si>
    <t>ข้อมูลส่วนบุคคล</t>
  </si>
  <si>
    <t>บัญชี ro_safe เห็น</t>
  </si>
  <si>
    <t>อายุข้อมูล / การลบ</t>
  </si>
  <si>
    <t>จำนวนคอลัมน์</t>
  </si>
  <si>
    <t>หมายเหตุ</t>
  </si>
  <si>
    <t>โซเชียล &amp; โฆษณา</t>
  </si>
  <si>
    <t>dash_ads_daily</t>
  </si>
  <si>
    <t>ยอดโฆษณารายวัน (รวมทั้งบัญชี)</t>
  </si>
  <si>
    <t>ผลรวมรายวันของโฆษณา Meta — เงินที่ใช้ · แชทที่เริ่ม · ลีด · คลิกลิงก์ · วิว · แสดงผล · ไม่เก็บ "ต้นทุนต่อแชท" เป็นคอลัมน์โดยตั้งใจ (ต้องคิดจากผลรวมหารผลรวม ไม่ใช่เฉลี่ยรายวัน)</t>
  </si>
  <si>
    <t>2026-09-18</t>
  </si>
  <si>
    <t>2026-10-02</t>
  </si>
  <si>
    <t>date</t>
  </si>
  <si>
    <t>–</t>
  </si>
  <si>
    <t>เห็น</t>
  </si>
  <si>
    <t>สร้างใหม่ได้เสมอ (manage.py ads_rebuild)</t>
  </si>
  <si>
    <t>คำนวณมาจาก dash_meta_ad_daily — ลบแล้วสร้างใหม่ได้เสมอ</t>
  </si>
  <si>
    <t>dash_meta_ad_daily</t>
  </si>
  <si>
    <t>ผลโฆษณา Facebook (รายวัน)</t>
  </si>
  <si>
    <t>ใช้เงิน/แสดงผล/เข้าถึง/คลิก + actions ดิบ (ลีด แชท ฯลฯ) ต่อโฆษณาต่อวัน · เฉพาะบัญชีโฆษณาของบริษัทนี้ (ด่าน META_AD_ACCOUNTS)</t>
  </si>
  <si>
    <t>เก็บถาวร</t>
  </si>
  <si>
    <t>dash_meta_page_daily</t>
  </si>
  <si>
    <t>ยอดระดับเพจที่ Facebook รายงานเอง (รายวัน)</t>
  </si>
  <si>
    <t>วิววิดีโอ/การมีส่วนร่วมทั้งเพจต่อวัน ตามที่ Meta สรุปให้ (ย้อนหลังได้ ~30 วัน) · ไว้เทียบว่ายอดที่เรารวมจากโพสต์เก็บครบไหม · เป็นยอดรวม ไม่มีชื่อคน</t>
  </si>
  <si>
    <t>2026-08-23</t>
  </si>
  <si>
    <t>dash_meta_post_snapshot</t>
  </si>
  <si>
    <t>ยอดโพสต์ Facebook (ทุกเที่ยงคืน)</t>
  </si>
  <si>
    <t>ยอดสะสมของทุกโพสต์ในเพจเรา (วิว/ไลก์/คอมเมนต์/แชร์/คลิก/ดูเฉลี่ย) จดทุกเที่ยงคืน · เอาแถว cron วันนี้ลบเมื่อวาน = ยอดรายวัน (Meta ไม่ให้ยอดรายวันของไลก์/แชร์) · เป็นยอดรวม ไม่มีชื่อคนกด</t>
  </si>
  <si>
    <t>2026-09-19</t>
  </si>
  <si>
    <t>snap_date</t>
  </si>
  <si>
    <t>dash_meta_raw</t>
  </si>
  <si>
    <t>ข้อมูลดิบจาก Meta</t>
  </si>
  <si>
    <t>คำตอบจาก Facebook ทั้งก้อน (โพสต์ + โฆษณา) ไว้คิดตัวเลขใหม่ย้อนหลัง · ตัด token ที่ฝังในลิงก์หน้าถัดไปออกแล้ว · ใหญ่สุดในระบบ (~12 MB/วัน)</t>
  </si>
  <si>
    <t>2026-09-20</t>
  </si>
  <si>
    <t>2026-10-03</t>
  </si>
  <si>
    <t>fetched_at</t>
  </si>
  <si>
    <t>เก็บ 90 วัน แล้วลบเอง</t>
  </si>
  <si>
    <t>dash_social_daily</t>
  </si>
  <si>
    <t>ยอดโซเชียลรายวัน (Facebook + TikTok + YouTube)</t>
  </si>
  <si>
    <t>ยอดที่ 'เพิ่มขึ้นจริงในวันนั้น' ของโพสต์/คลิปแต่ละชิ้น — 1 แถว/ชิ้น/วัน · คำนวณมาจากตาราง snapshot (ซึ่งเก็บยอดสะสม) เพื่อให้กรองช่วงวันที่ได้ตรงๆ · ลบทิ้งแล้วสร้างใหม่ได้เสมอด้วย manage.py social_rebuild · เป็นยอดรวม ไม่มีชื่อคน</t>
  </si>
  <si>
    <t>สร้างใหม่ได้ (ต้นฉบับคือตาราง snapshot)</t>
  </si>
  <si>
    <t>คำนวณมาจากตาราง *_snapshot — ลบแล้วสร้างใหม่ได้เสมอ</t>
  </si>
  <si>
    <t>dash_tiktok_account</t>
  </si>
  <si>
    <t>ช่อง TikTok ที่เชื่อมแล้ว</t>
  </si>
  <si>
    <t>ช่องที่เจ้าของกดอนุญาตให้ระบบอ่านข้อมูล 1 แถวต่อช่อง · ชื่อช่อง · สิทธิ์ที่ได้ · สถานะ · token เก็บแบบเข้ารหัส (หน้านี้และไฟล์ export ไม่แสดง)</t>
  </si>
  <si>
    <t>2026-09-24</t>
  </si>
  <si>
    <t>connected_at</t>
  </si>
  <si>
    <t>มี</t>
  </si>
  <si>
    <t>เก็บจนกว่าเจ้าของช่องยกเลิกสิทธิ์</t>
  </si>
  <si>
    <t>dash_tiktok_account_snapshot</t>
  </si>
  <si>
    <t>ยอดช่อง TikTok (รายวัน)</t>
  </si>
  <si>
    <t>ผู้ติดตาม · ไลก์รวม · จำนวนคลิป ของแต่ละช่อง ณ สิ้นวัน (เฉพาะช่องที่ให้สิทธิ์ user.info.stats)</t>
  </si>
  <si>
    <t>2026-09-22</t>
  </si>
  <si>
    <t>dash_tiktok_event</t>
  </si>
  <si>
    <t>event จาก TikTok (webhook)</t>
  </si>
  <si>
    <t>สิ่งที่ TikTok for Developers ยิงเข้า /api/tiktok/webhook — 1 แถวต่อ event เก็บ body ดิบทั้งก้อน · signature_ok = ตรวจลายเซ็นผ่าน (ว่าง = ยังไม่ได้ตั้ง TIKTOK_CLIENT_SECRET จึงไม่ได้ตรวจ)</t>
  </si>
  <si>
    <t>received_at</t>
  </si>
  <si>
    <t>เก็บ 180 วัน แล้วลบเอง</t>
  </si>
  <si>
    <t>ยังไม่มี event เข้ามา</t>
  </si>
  <si>
    <t>dash_tiktok_raw</t>
  </si>
  <si>
    <t>ข้อมูลดิบจาก TikTok</t>
  </si>
  <si>
    <t>คำตอบจาก TikTok API ทั้งก้อน (รายการคลิป + ยอดช่อง) ไว้คิดตัวเลขใหม่ย้อนหลัง</t>
  </si>
  <si>
    <t>dash_tiktok_video_snapshot</t>
  </si>
  <si>
    <t>ยอดคลิป TikTok (ทุกเที่ยงคืน)</t>
  </si>
  <si>
    <t>ยอดสะสมของทุกคลิป (วิว/ไลก์/คอมเมนต์/แชร์) ของทุกช่องที่เชื่อม จดทุกเที่ยงคืน · แถว cron วันนี้ลบเมื่อวาน = ยอดรายวัน</t>
  </si>
  <si>
    <t>dash_youtube_channel_snapshot</t>
  </si>
  <si>
    <t>ยอดช่อง YouTube (รายวัน)</t>
  </si>
  <si>
    <t>ผู้ติดตาม · วิวรวมทั้งช่อง · จำนวนคลิป ของแต่ละช่อง ณ สิ้นวัน · ไม่ต้องให้เจ้าของช่องกดอนุญาต (ใช้ API key ใบเดียว)</t>
  </si>
  <si>
    <t>2026-09-23</t>
  </si>
  <si>
    <t>dash_youtube_raw</t>
  </si>
  <si>
    <t>ข้อมูลดิบจาก YouTube</t>
  </si>
  <si>
    <t>คำตอบดิบทั้งก้อนจาก YouTube Data API — ไว้คิดตัวเลขใหม่ย้อนหลังถ้าสูตรเปลี่ยน</t>
  </si>
  <si>
    <t>ลบเองเมื่อเกิน 90 วัน</t>
  </si>
  <si>
    <t>dash_youtube_video_snapshot</t>
  </si>
  <si>
    <t>ยอดคลิป YouTube (ทุกเที่ยงคืน)</t>
  </si>
  <si>
    <t>ยอดสะสมของคลิปย้อนหลัง 90 วัน (วิว/ไลก์/คอมเมนต์) · แถว cron วันนี้ลบเมื่อวาน = ยอดรายวัน · YouTube ไม่ให้ยอดแชร์และดิสไลก์ จึงไม่มี 2 ช่องนั้น</t>
  </si>
  <si>
    <t>แดชบอร์ดขาย &amp; ระบบ</t>
  </si>
  <si>
    <t>dash_event_log</t>
  </si>
  <si>
    <t>ล็อกเหตุการณ์ระบบ</t>
  </si>
  <si>
    <t>ส่งอะไรออก LINE บ้าง สำเร็จ/ล้มเพราะอะไร · webhook ขาเข้าที่ผิดปกติ · งานอัตโนมัติที่ล้ม — เก็บเป็นแถวต่อเหตุการณ์ จึงย้อนดูได้ว่าเริ่มพังเมื่อไหร่ (ต่างจาก dash_kv ที่เก็บแค่ครั้งล่าสุด) · ★ ช่อง target คือปลายทางที่ส่ง = LINE user id ของพนักงาน หรือ group id</t>
  </si>
  <si>
    <t>2026-09-16</t>
  </si>
  <si>
    <t>at</t>
  </si>
  <si>
    <t>dash_followup_log</t>
  </si>
  <si>
    <t>สถิติการทวงงานรายวัน</t>
  </si>
  <si>
    <t>ต่อวัน/ต่อเซลล์: ยังไม่โทรกี่เคส · ไม่ใส่สถานะกี่เคส · ดีลค้าง · ถูกทวงกี่รอบ</t>
  </si>
  <si>
    <t>2026-07-16</t>
  </si>
  <si>
    <t>dash_form</t>
  </si>
  <si>
    <t>ฟอร์มไฟแนนซ์ / ขอสินเชื่อ</t>
  </si>
  <si>
    <t>ฟอร์ม “เช็คไฟแนนซ์ก่อนเซ็น” และ “ขอสินเชื่อ” ที่เซลล์ส่งเข้ามา (สำเนาไว้ย้อนดู)</t>
  </si>
  <si>
    <t>created_at</t>
  </si>
  <si>
    <t>ยังไม่มีการส่งฟอร์ม</t>
  </si>
  <si>
    <t>dash_kv</t>
  </si>
  <si>
    <t>ค่าคอนฟิก + สถานะระบบ (key-value)</t>
  </si>
  <si>
    <t>ที่เก็บของจุกจิกทั้งระบบ: ผลสรุปแดชบอร์ดที่คำนวณไว้ล่วงหน้า · heartbeat ของ cron · ค่าตั้งกลุ่ม LINE · รายชื่อกลุ่มที่บอทรู้จัก · แคชชื่อโปรไฟล์ LINE</t>
  </si>
  <si>
    <t>updated_at</t>
  </si>
  <si>
    <t>ทับค่าเดิมเรื่อยๆ (ไม่สะสมแถว)</t>
  </si>
  <si>
    <t>ที่เก็บของจุกจิกของระบบ — ดูแท็บ 'คีย์ใน dash_kv'</t>
  </si>
  <si>
    <t>dash_seller_weekly</t>
  </si>
  <si>
    <t>ผลงานเซลล์รายสัปดาห์</t>
  </si>
  <si>
    <t>ต่อสัปดาห์/ต่อเซลล์: lead · RJ · จอง · ปล่อย · ยอดเงิน · ไลฟ์ · คลิป</t>
  </si>
  <si>
    <t>2026-07-13</t>
  </si>
  <si>
    <t>2026-09-28</t>
  </si>
  <si>
    <t>week_start</t>
  </si>
  <si>
    <t>สต็อกรถ &amp; สเตปงาน</t>
  </si>
  <si>
    <t>cars_branch</t>
  </si>
  <si>
    <t>สาขา</t>
  </si>
  <si>
    <t>รายชื่อสาขา/ลานจอด</t>
  </si>
  <si>
    <t>2026-06-23</t>
  </si>
  <si>
    <t>cars_car</t>
  </si>
  <si>
    <t>รถในระบบ</t>
  </si>
  <si>
    <t>ข้อมูลรถแต่ละคัน: รหัส · ทะเบียน · รุ่น/ปี/สี/เลขไมล์ · สเตปปัจจุบัน · ความด่วน · ธงงานค้าง · โฟลเดอร์รูปใน Google Drive</t>
  </si>
  <si>
    <t>2026-08-17</t>
  </si>
  <si>
    <t>ช่วงวันที่นับจากวันที่สร้างแถว (นำเข้าจาก Car Spend) — วันรับรถเข้าจริงดูคอลัมน์ date_in</t>
  </si>
  <si>
    <t>cars_loginevent</t>
  </si>
  <si>
    <t>Log การเข้าสู่ระบบ</t>
  </si>
  <si>
    <t>ทุกครั้งที่มีคน login (สำเร็จ/ไม่สำเร็จ): บัญชี · วิธี · บทบาท · IP · อุปกรณ์</t>
  </si>
  <si>
    <t>2026-06-26</t>
  </si>
  <si>
    <t>cars_presence</t>
  </si>
  <si>
    <t>คนออนไลน์ตอนนี้</t>
  </si>
  <si>
    <t>แถวละคน — เห็นล่าสุดเมื่อไหร่ อยู่หน้าไหน (ใช้ทำชิป “N ออนไลน์”)</t>
  </si>
  <si>
    <t>2026-08-24</t>
  </si>
  <si>
    <t>last_seen</t>
  </si>
  <si>
    <t>1 แถว/คน (ทับค่าเดิม ไม่สะสม)</t>
  </si>
  <si>
    <t>cars_scanlog</t>
  </si>
  <si>
    <t>ประวัติเปลี่ยนสเตป (ไทม์ไลน์รถ)</t>
  </si>
  <si>
    <t>ทุกครั้งที่มีคนเปลี่ยนสเตปรถ: ใครเปลี่ยน · เมื่อไหร่ · หมายเหตุ · รูป/วิดีโอที่แนบ</t>
  </si>
  <si>
    <t>2026-08-21</t>
  </si>
  <si>
    <t>พนักงาน &amp; เช็คชื่อ</t>
  </si>
  <si>
    <t>checkout_checkin</t>
  </si>
  <si>
    <t>เช็คชื่อเข้างาน</t>
  </si>
  <si>
    <t>1 แถวต่อ 'คน 1 วัน': มากี่โมง · ตรงเวลา/สาย · เวลาเข้างานของคนนั้น ณ วันนั้น · อ่านเวลาจากรูปหรือจากเวลาที่ส่ง · ที่อยู่ที่แนบมา · ผล OCR ดิบ</t>
  </si>
  <si>
    <t>date_iso</t>
  </si>
  <si>
    <t>เก็บถาวร (เป็นประวัติการทำงาน)</t>
  </si>
  <si>
    <t>checkout_employee</t>
  </si>
  <si>
    <t>ทะเบียนพนักงาน</t>
  </si>
  <si>
    <t>ตัวคน 1 แถว/คน: ชื่อเล่น · ชื่อที่ตั้งใน LINE · ตำแหน่ง/ทีม · เวลาเข้างาน · วันหยุด · หมายเหตุ (ลา/สาย) · ต้องเช็คชื่อไหม · แจ้งเตือนไหม — เป็นที่เก็บ 'ทีม' ที่เดียวของทั้งระบบ (แดชบอร์ดขายอ่านทับจากที่นี่)</t>
  </si>
  <si>
    <t>เก็บถาวร · คนลาออกให้ปิดใช้งาน ไม่ต้องลบ</t>
  </si>
  <si>
    <t>เบิก-คืนรถ</t>
  </si>
  <si>
    <t>checkout_carmovement</t>
  </si>
  <si>
    <t>รอบเบิก-คืนรถ</t>
  </si>
  <si>
    <t>ใครเบิกรถคันไหน ไปทำอะไร ตอนไหน คืนเมื่อไหร่ · มุมที่ถ่ายครบ · ขอน้ำมันไหม · มาจากทางไหน (กดในเว็บ / บอทอ่านจากกลุ่ม LINE / นำเข้าจาก log)</t>
  </si>
  <si>
    <t>2026-08-31</t>
  </si>
  <si>
    <t>checked_out_at</t>
  </si>
  <si>
    <t>checkout_checklistconfig</t>
  </si>
  <si>
    <t>ชุดเช็คลิสต์เบิก-คืน</t>
  </si>
  <si>
    <t>แม่แบบเช็คลิสต์ (เผื่อทำหลายชุด) — ตอนนี้ใช้ชุดฝังในโค้ดอยู่</t>
  </si>
  <si>
    <t>ยังไม่เปิดใช้ (เช็คลิสต์ตอนนี้ฝังในโค้ด)</t>
  </si>
  <si>
    <t>checkout_checklistitem</t>
  </si>
  <si>
    <t>ข้อในเช็คลิสต์</t>
  </si>
  <si>
    <t>รายข้อของชุดเช็คลิสต์ (บังคับ/ไม่บังคับ · ต้องมีรูปกี่รูป)</t>
  </si>
  <si>
    <t>checkout_equipmentissue</t>
  </si>
  <si>
    <t>ของหาย/ของเสียในรถ</t>
  </si>
  <si>
    <t>เผื่อบันทึกอุปกรณ์ในรถที่หาย/ชำรุด — ยังไม่เปิดใช้</t>
  </si>
  <si>
    <t>ยังไม่เปิดใช้</t>
  </si>
  <si>
    <t>checkout_movementphoto</t>
  </si>
  <si>
    <t>รูปตอนเบิก/คืนรถ</t>
  </si>
  <si>
    <t>รายการรูปของแต่ละรอบ (ตัวไฟล์อยู่ใน Google Drive — ตารางนี้เก็บแค่ตัวชี้)</t>
  </si>
  <si>
    <t>2026-09-09</t>
  </si>
  <si>
    <t>รูปตัวจริงอยู่ใน Google Drive — ตารางนี้เก็บแค่ id ที่ชี้ไป</t>
  </si>
  <si>
    <t>checkout_violationlog</t>
  </si>
  <si>
    <t>บันทึกทำผิดกติกา</t>
  </si>
  <si>
    <t>เผื่อบันทึกเคสที่ไม่ทำตามกติกา (เบิกไม่คืน / ไม่ส่งรูป) — ยังไม่เปิดใช้</t>
  </si>
  <si>
    <t>แชท &amp; ลูกค้า (CRM)</t>
  </si>
  <si>
    <t>checkout_chatowner</t>
  </si>
  <si>
    <t>Connect — ลูกค้าเป็นของเซลล์คนไหน</t>
  </si>
  <si>
    <t>1 แถว/ลูกค้า LINE — เซลล์ที่ดูแล (ว่าง = อยู่ในคิว) · ทีมที่เวร · ลูกค้ารอคำตอบตั้งแต่เมื่อไหร่ · เส้นตาย 5 นาที · เลยเวลาแล้วหรือยัง · ข้อความล่าสุด (สั้นๆ ไว้โชว์ในลิสต์)</t>
  </si>
  <si>
    <t>หายตามโปรไฟล์ลูกค้า (ลูกค้าที่เงียบเกิน 60 วันถูกลบ)</t>
  </si>
  <si>
    <t>เปิดใช้ 3 ต.ค.69 (หน้า Connect) — แถวลูกค้าเก่าถูกสร้างพร้อมกันวันนั้น</t>
  </si>
  <si>
    <t>checkout_chatownerlog</t>
  </si>
  <si>
    <t>Connect — ประวัติรับ/โอน/ตอบลูกค้า</t>
  </si>
  <si>
    <t>ใครรับลูกค้าคนไหน · แอดมินโอนให้ใคร · ปล่อยคืนคิว · เลยเวลา · ตอบแล้วลูกค้ารอกี่วินาที (ทันเวลาไหม) — ที่มาของสถิติเวลาตอบรายเซลล์</t>
  </si>
  <si>
    <t>หายตามโปรไฟล์ลูกค้า (60 วัน)</t>
  </si>
  <si>
    <t>เปิดใช้ 3 ต.ค.69 — เริ่มมีประวัติเมื่อเซลล์รับ/ตอบลูกค้า</t>
  </si>
  <si>
    <t>checkout_coachlog</t>
  </si>
  <si>
    <t>บันทึกห้องโค้ชเซลล์</t>
  </si>
  <si>
    <t>1 แถว/ข้อความในห้อง Sale Coaching — แยกบทบาทซีเนียร์/จูเนียร์ · รหัสเคส · ทีม · ข้อความ · ที่มา (ชีตเดิม/บอท) · ที่รวมถาวรของเก่า (เม.ย.69 เป็นต้นมา) + ของใหม่ ต่างจาก checkout_groupchat ที่ลบทิ้งเมื่อครบ 90 วัน — ตารางนี้ไม่มีวันหมดอายุเพราะเป็นบันทึกการสอนงาน</t>
  </si>
  <si>
    <t>sent_at</t>
  </si>
  <si>
    <t>ไม่ลบ</t>
  </si>
  <si>
    <t>ยังว่างบนเซิร์ฟเวอร์ — รอนำเข้าประวัติห้องโค้ช (ระหว่างนี้อยู่ใน Google Sheets แท็บ 'บันทึกโค้ช')</t>
  </si>
  <si>
    <t>checkout_customerneed</t>
  </si>
  <si>
    <t>ลูกค้าหารถอะไร</t>
  </si>
  <si>
    <t>1 แถว = ความต้องการ 1 เรื่อง: รุ่นที่หา · ปี · งบ · ผ่อนไหวเดือนละ · ดาวน์ได้ · ชื่อลูกค้า + ช่องทางติดต่อ · ปิดเคสเพราะอะไร · ยังรอรถอยู่ไหม</t>
  </si>
  <si>
    <t>ตามโปรไฟล์ลูกค้าที่ผูกไว้</t>
  </si>
  <si>
    <t>checkout_fbchat</t>
  </si>
  <si>
    <t>แชท Facebook Messenger</t>
  </si>
  <si>
    <t>ข้อความในเพจเรา ทั้งที่ลูกค้าส่งมาและที่เพจตอบ (คู่ขนานกับ checkout_groupchat ฝั่ง LINE) · ดึงจาก Facebook ทุกเที่ยงคืน ไม่ใช่ real-time · sender_id = PSID (id ต่อเพจ ไม่ใช่ LINE id)</t>
  </si>
  <si>
    <t>2026-08-04</t>
  </si>
  <si>
    <t>เก็บ 60 วัน (เท่าแชทลูกค้าฝั่ง LINE) แล้วลบเอง</t>
  </si>
  <si>
    <t>checkout_fbprofile</t>
  </si>
  <si>
    <t>โปรไฟล์คน Facebook</t>
  </si>
  <si>
    <t>คนที่ทักเข้าเพจ 1 แถวต่อคนต่อเพจ — ชื่อ · ห้องสนทนา · ลิงก์เปิดใน Inbox · จำนวนข้อความ (คู่ขนานกับ checkout_lineprofile) · Facebook ให้แค่ชื่อ ไม่มีเบอร์/อีเมลจริง</t>
  </si>
  <si>
    <t>2026-07-22</t>
  </si>
  <si>
    <t>first_seen</t>
  </si>
  <si>
    <t>ลูกค้าที่เงียบเกิน 60 วันลบเอง</t>
  </si>
  <si>
    <t>checkout_groupchat</t>
  </si>
  <si>
    <t>แชทกลุ่ม LINE + แชทลูกค้า</t>
  </si>
  <si>
    <t>ข้อความที่วิ่งผ่านบอท (กลุ่มงาน + ลูกค้าทัก 1:1): ข้อความ · สติกเกอร์ · อิโมจิ · ธงว่ามีรูป/ไฟล์</t>
  </si>
  <si>
    <t>2026-09-11</t>
  </si>
  <si>
    <t>กลุ่ม 90 วัน · ลูกค้า 60 วัน (ตั้งใน checkout/constants.py)</t>
  </si>
  <si>
    <t>checkout_lineeventlog</t>
  </si>
  <si>
    <t>Log event ดิบจาก LINE</t>
  </si>
  <si>
    <t>เผื่อเก็บ event ดิบเพื่อดีบัก — ยังไม่เปิดใช้</t>
  </si>
  <si>
    <t>checkout_linegroup</t>
  </si>
  <si>
    <t>ทะเบียนกลุ่ม LINE</t>
  </si>
  <si>
    <t>1 แถว/กลุ่ม — ชื่อกลุ่ม · ประเภทงาน (ห้องโค้ช/จ่ายเบอร์/จองรถ/จัดซื้อ…) · บอทตัวไหนอยู่ในกลุ่มนี้ · ได้ยินล่าสุดเมื่อไหร่ · ใช้ join กับ checkout_groupchat ที่ group_id เพื่อ แยกแชทเป็นรายกลุ่ม</t>
  </si>
  <si>
    <t>checkout_lineprofile</t>
  </si>
  <si>
    <t>โปรไฟล์คนที่คุยกับบอท LINE</t>
  </si>
  <si>
    <t>1 แถว/คน — LINE user id · ชื่อที่ตั้งใน LINE · ชื่อเล่น(ถ้าเป็นพนักงาน) · เคยคุยกี่ข้อความ · ทักครั้งแรก/ล่าสุดเมื่อไหร่ · เจอจากบัญชีบอทไหน (ไม่เก็บรูปโปรไฟล์)</t>
  </si>
  <si>
    <t>โปรไฟล์ลูกค้าที่เงียบเกิน 60 วันถูกลบ · ของพนักงานเก็บไว้ (ใช้เทียบชื่อ)</t>
  </si>
  <si>
    <t>ตารางระบบ Django</t>
  </si>
  <si>
    <t>auth_group</t>
  </si>
  <si>
    <t>กลุ่มสิทธิ์ (บทบาท)</t>
  </si>
  <si>
    <t>บทบาท 10 แบบของระบบติดตามรถ</t>
  </si>
  <si>
    <t>auth_group_permissions</t>
  </si>
  <si>
    <t>บทบาท ↔ สิทธิ์ย่อย</t>
  </si>
  <si>
    <t>ระบบสร้างเอง</t>
  </si>
  <si>
    <t>ยังไม่มีข้อมูล</t>
  </si>
  <si>
    <t>auth_permission</t>
  </si>
  <si>
    <t>สิทธิ์ย่อย</t>
  </si>
  <si>
    <t>สิทธิ์ระดับตารางของ Django (ระบบสร้างเอง)</t>
  </si>
  <si>
    <t>auth_user</t>
  </si>
  <si>
    <t>บัญชีผู้ใช้ (Django)</t>
  </si>
  <si>
    <t>บัญชีของคนที่เข้าระบบติดตามรถ (คนงาน + คนที่ login ผ่าน LINE จะถูกสร้างให้อัตโนมัติ)</t>
  </si>
  <si>
    <t>2026-06-22</t>
  </si>
  <si>
    <t>date_joined</t>
  </si>
  <si>
    <t>auth_user_groups</t>
  </si>
  <si>
    <t>ผู้ใช้ ↔ บทบาท</t>
  </si>
  <si>
    <t>ใครอยู่บทบาทไหน (ตารางเชื่อม)</t>
  </si>
  <si>
    <t>auth_user_user_permissions</t>
  </si>
  <si>
    <t>ผู้ใช้ ↔ สิทธิ์ย่อย</t>
  </si>
  <si>
    <t>django_admin_log</t>
  </si>
  <si>
    <t>Log การแก้ข้อมูลใน /dj-admin/</t>
  </si>
  <si>
    <t>ใครแก้อะไรผ่านหน้า Django admin</t>
  </si>
  <si>
    <t>action_time</t>
  </si>
  <si>
    <t>django_content_type</t>
  </si>
  <si>
    <t>ทะเบียนชนิดข้อมูล</t>
  </si>
  <si>
    <t>django_migrations</t>
  </si>
  <si>
    <t>ประวัติ migrate</t>
  </si>
  <si>
    <t>ไล่ว่าอัปโครงฐานข้อมูลถึงขั้นไหนแล้ว (ใช้ดูว่าตารางใหม่เพิ่มเข้ามาเมื่อไหร่)</t>
  </si>
  <si>
    <t>2026-06-30</t>
  </si>
  <si>
    <t>applied</t>
  </si>
  <si>
    <t>django_session</t>
  </si>
  <si>
    <t>เซสชัน</t>
  </si>
  <si>
    <t>ปกติ ว่างเปล่า — เว็บนี้เก็บ session ในคุกกี้ที่เซ็นชื่อ ไม่ได้เก็บลงตาราง</t>
  </si>
  <si>
    <t>ว่างเสมอ — ระบบเก็บ session ในคุกกี้ ไม่ได้เก็บลงตาราง</t>
  </si>
  <si>
    <t>รวมทั้งหมด</t>
  </si>
  <si>
    <t>รายละเอียดคอลัมน์ทุกตาราง</t>
  </si>
  <si>
    <t>ใช้ตัวกรองที่หัวตาราง (ช่อง 'ชื่อตาราง') เพื่อดูทีละตาราง · สีส้ม = ข้อมูลอ่อนไหว ต้องระวังเวลาใช้/ส่งต่อ</t>
  </si>
  <si>
    <t>ชื่อตาราง (ไทย)</t>
  </si>
  <si>
    <t>ลำดับ</t>
  </si>
  <si>
    <t>ชนิดข้อมูล</t>
  </si>
  <si>
    <t>ความหมาย</t>
  </si>
  <si>
    <t>ค่าที่เป็นไปได้</t>
  </si>
  <si>
    <t>คีย์</t>
  </si>
  <si>
    <t>ว่างได้</t>
  </si>
  <si>
    <t>ข้อมูลอ่อนไหว</t>
  </si>
  <si>
    <t>id</t>
  </si>
  <si>
    <t>bigint</t>
  </si>
  <si>
    <t>เลขลำดับแถว (ระบบใส่ให้)</t>
  </si>
  <si>
    <t>PK</t>
  </si>
  <si>
    <t>วันที่</t>
  </si>
  <si>
    <t>UNIQUE</t>
  </si>
  <si>
    <t>account_id</t>
  </si>
  <si>
    <t>varchar(32)</t>
  </si>
  <si>
    <t>บัญชีโฆษณา</t>
  </si>
  <si>
    <t>spend</t>
  </si>
  <si>
    <t>numeric</t>
  </si>
  <si>
    <t>ใช้เงิน (บาท)</t>
  </si>
  <si>
    <t>impressions</t>
  </si>
  <si>
    <t>แสดงผล</t>
  </si>
  <si>
    <t>reach</t>
  </si>
  <si>
    <t>เข้าถึง (คน)</t>
  </si>
  <si>
    <t>clicks</t>
  </si>
  <si>
    <t>คลิกทั้งหมด</t>
  </si>
  <si>
    <t>link_clicks</t>
  </si>
  <si>
    <t>คลิกลิงก์</t>
  </si>
  <si>
    <t>video_views</t>
  </si>
  <si>
    <t>วิววิดีโอ</t>
  </si>
  <si>
    <t>engagement</t>
  </si>
  <si>
    <t>การมีส่วนร่วมกับโพสต์</t>
  </si>
  <si>
    <t>chats</t>
  </si>
  <si>
    <t>เริ่มแชท</t>
  </si>
  <si>
    <t>chats_replied</t>
  </si>
  <si>
    <t>แชทที่ตอบกลับ</t>
  </si>
  <si>
    <t>leads</t>
  </si>
  <si>
    <t>ลีด</t>
  </si>
  <si>
    <t>ads</t>
  </si>
  <si>
    <t>integer</t>
  </si>
  <si>
    <t>จำนวนโฆษณาที่ยิงวันนั้น</t>
  </si>
  <si>
    <t>campaigns</t>
  </si>
  <si>
    <t>จำนวนแคมเปญ</t>
  </si>
  <si>
    <t>timestamptz</t>
  </si>
  <si>
    <t>คำนวณล่าสุด</t>
  </si>
  <si>
    <t>campaign_id</t>
  </si>
  <si>
    <t>แคมเปญ</t>
  </si>
  <si>
    <t>campaign_name</t>
  </si>
  <si>
    <t>varchar(300)</t>
  </si>
  <si>
    <t>ชื่อแคมเปญ</t>
  </si>
  <si>
    <t>adset_id</t>
  </si>
  <si>
    <t>ชุดโฆษณา</t>
  </si>
  <si>
    <t>adset_name</t>
  </si>
  <si>
    <t>ชื่อชุดโฆษณา</t>
  </si>
  <si>
    <t>ad_id</t>
  </si>
  <si>
    <t>โฆษณา</t>
  </si>
  <si>
    <t>ad_name</t>
  </si>
  <si>
    <t>ชื่อโฆษณา</t>
  </si>
  <si>
    <t>คลิก</t>
  </si>
  <si>
    <t>actions</t>
  </si>
  <si>
    <t>jsonb</t>
  </si>
  <si>
    <t>actions ดิบ</t>
  </si>
  <si>
    <t>cost_per_action</t>
  </si>
  <si>
    <t>ต้นทุนต่อ action ดิบ</t>
  </si>
  <si>
    <t>ดึงล่าสุด</t>
  </si>
  <si>
    <t>เริ่มแชท (7 วัน)</t>
  </si>
  <si>
    <t>แชทที่ตอบกลับ (7 วัน)</t>
  </si>
  <si>
    <t>page_id</t>
  </si>
  <si>
    <t>เพจ</t>
  </si>
  <si>
    <t>วิววิดีโอ (ทั้งเพจ)</t>
  </si>
  <si>
    <t>engagements</t>
  </si>
  <si>
    <t>page_views</t>
  </si>
  <si>
    <t>คนเปิดดูเพจ</t>
  </si>
  <si>
    <t>follows</t>
  </si>
  <si>
    <t>ผู้ติดตามใหม่</t>
  </si>
  <si>
    <t>likes</t>
  </si>
  <si>
    <t>กดถูกใจโพสต์</t>
  </si>
  <si>
    <t>taken_at</t>
  </si>
  <si>
    <t>ดึงเมื่อ</t>
  </si>
  <si>
    <t>ยอดสะสม ณ สิ้นวัน</t>
  </si>
  <si>
    <t>trigger</t>
  </si>
  <si>
    <t>varchar(8)</t>
  </si>
  <si>
    <t>ดึงเพราะอะไร — cron = รอบอัตโนมัติเที่ยงคืน (ใช้คิดยอดรายวัน) · manual = กดดึงเองกลางวัน (ห้ามเอามาคิดยอดรายวัน)</t>
  </si>
  <si>
    <t>post_id</t>
  </si>
  <si>
    <t>varchar(64)</t>
  </si>
  <si>
    <t>โพสต์</t>
  </si>
  <si>
    <t>post_type</t>
  </si>
  <si>
    <t>ชนิด</t>
  </si>
  <si>
    <t>created_time</t>
  </si>
  <si>
    <t>โพสต์เมื่อ</t>
  </si>
  <si>
    <t>ได้</t>
  </si>
  <si>
    <t>permalink</t>
  </si>
  <si>
    <t>ลิงก์</t>
  </si>
  <si>
    <t>message</t>
  </si>
  <si>
    <t>varchar(200)</t>
  </si>
  <si>
    <t>ข้อความ (ตัดสั้น)</t>
  </si>
  <si>
    <t>reactions</t>
  </si>
  <si>
    <t>รีแอ็กรวม</t>
  </si>
  <si>
    <t>reactions_by_type</t>
  </si>
  <si>
    <t>รีแอ็กแยกชนิด</t>
  </si>
  <si>
    <t>comments</t>
  </si>
  <si>
    <t>คอมเมนต์</t>
  </si>
  <si>
    <t>shares</t>
  </si>
  <si>
    <t>แชร์</t>
  </si>
  <si>
    <t>วิว (3 วิ+)</t>
  </si>
  <si>
    <t>video_views_organic</t>
  </si>
  <si>
    <t>วิวออร์แกนิก</t>
  </si>
  <si>
    <t>video_views_paid</t>
  </si>
  <si>
    <t>วิวจากโฆษณา</t>
  </si>
  <si>
    <t>video_avg_watch_ms</t>
  </si>
  <si>
    <t>ดูเฉลี่ย (มิลลิวินาที)</t>
  </si>
  <si>
    <t>video_complete_30s</t>
  </si>
  <si>
    <t>ดูครบ 30 วิ</t>
  </si>
  <si>
    <t>video_view_time_ms</t>
  </si>
  <si>
    <t>เวลาดูรวม (มิลลิวินาที)</t>
  </si>
  <si>
    <t>kind</t>
  </si>
  <si>
    <t>varchar(16)</t>
  </si>
  <si>
    <t>ref_id</t>
  </si>
  <si>
    <t>varchar(40)</t>
  </si>
  <si>
    <t>ของใคร</t>
  </si>
  <si>
    <t>data</t>
  </si>
  <si>
    <t>คำตอบดิบ</t>
  </si>
  <si>
    <t>วันที่ของยอด</t>
  </si>
  <si>
    <t>platform</t>
  </si>
  <si>
    <t>แพลตฟอร์ม — meta = Facebook · tiktok · youtube</t>
  </si>
  <si>
    <t>object_id</t>
  </si>
  <si>
    <t>รหัสโพสต์/คลิป (ตรงกับ post_id / video_id ในตาราง snapshot ของแพลตฟอร์มนั้น)</t>
  </si>
  <si>
    <t>owner_id</t>
  </si>
  <si>
    <t>varchar(120)</t>
  </si>
  <si>
    <t>รหัสเพจ/ช่อง (page_id / open_id / channel_id)</t>
  </si>
  <si>
    <t>title</t>
  </si>
  <si>
    <t>ข้อความ/ชื่อคลิป (ย่อ)</t>
  </si>
  <si>
    <t>views</t>
  </si>
  <si>
    <t>วิว (วันนั้น)</t>
  </si>
  <si>
    <t>ไลก์ (วันนั้น)</t>
  </si>
  <si>
    <t>คอมเมนต์ (วันนั้น)</t>
  </si>
  <si>
    <t>แชร์ (วันนั้น)</t>
  </si>
  <si>
    <t>cum_views</t>
  </si>
  <si>
    <t>วิวสะสม</t>
  </si>
  <si>
    <t>cum_likes</t>
  </si>
  <si>
    <t>ไลก์สะสม</t>
  </si>
  <si>
    <t>cum_comments</t>
  </si>
  <si>
    <t>คอมเมนต์สะสม</t>
  </si>
  <si>
    <t>cum_shares</t>
  </si>
  <si>
    <t>แชร์สะสม</t>
  </si>
  <si>
    <t>open_id</t>
  </si>
  <si>
    <t>open_id (id ช่องต่อแอป)</t>
  </si>
  <si>
    <t>label</t>
  </si>
  <si>
    <t>ชื่อที่เราตั้ง (ตอนสร้างลิงก์)</t>
  </si>
  <si>
    <t>display_name</t>
  </si>
  <si>
    <t>ชื่อช่อง</t>
  </si>
  <si>
    <t>username</t>
  </si>
  <si>
    <t>@ชื่อผู้ใช้</t>
  </si>
  <si>
    <t>scope</t>
  </si>
  <si>
    <t>สิทธิ์ที่ได้</t>
  </si>
  <si>
    <t>profile</t>
  </si>
  <si>
    <t>ข้อมูลช่องจาก TikTok (ไม่มีรูป)</t>
  </si>
  <si>
    <t>access_token</t>
  </si>
  <si>
    <t>text</t>
  </si>
  <si>
    <t>access token (เข้ารหัส)</t>
  </si>
  <si>
    <t>รหัสลับ — ไม่มีประโยชน์ต่อการวิเคราะห์</t>
  </si>
  <si>
    <t>access_expires_at</t>
  </si>
  <si>
    <t>access token หมดอายุ</t>
  </si>
  <si>
    <t>refresh_token</t>
  </si>
  <si>
    <t>refresh token (เข้ารหัส)</t>
  </si>
  <si>
    <t>refresh_expires_at</t>
  </si>
  <si>
    <t>refresh token หมดอายุ</t>
  </si>
  <si>
    <t>status</t>
  </si>
  <si>
    <t>varchar(10)</t>
  </si>
  <si>
    <t>สถานะ</t>
  </si>
  <si>
    <t>active = ใช้งานได้ · error = ต่ออายุไม่สำเร็จ · revoked = เจ้าของยกเลิกสิทธิ์</t>
  </si>
  <si>
    <t>last_error</t>
  </si>
  <si>
    <t>ผิดพลาดล่าสุด</t>
  </si>
  <si>
    <t>connected_by</t>
  </si>
  <si>
    <t>varchar(80)</t>
  </si>
  <si>
    <t>ใครสร้างลิงก์</t>
  </si>
  <si>
    <t>เชื่อมเมื่อ</t>
  </si>
  <si>
    <t>refreshed_at</t>
  </si>
  <si>
    <t>ต่ออายุล่าสุด</t>
  </si>
  <si>
    <t>ยอด ณ สิ้นวัน</t>
  </si>
  <si>
    <t>ช่อง (open_id)</t>
  </si>
  <si>
    <t>follower_count</t>
  </si>
  <si>
    <t>ผู้ติดตาม</t>
  </si>
  <si>
    <t>following_count</t>
  </si>
  <si>
    <t>กำลังติดตาม</t>
  </si>
  <si>
    <t>likes_count</t>
  </si>
  <si>
    <t>ไลก์รวมทั้งช่อง</t>
  </si>
  <si>
    <t>video_count</t>
  </si>
  <si>
    <t>จำนวนคลิป</t>
  </si>
  <si>
    <t>ได้รับเมื่อ</t>
  </si>
  <si>
    <t>event</t>
  </si>
  <si>
    <t>ชนิด event</t>
  </si>
  <si>
    <t>client_key</t>
  </si>
  <si>
    <t>แอป TikTok (client_key)</t>
  </si>
  <si>
    <t>user_openid</t>
  </si>
  <si>
    <t>ผู้ใช้ (open_id)</t>
  </si>
  <si>
    <t>TikTok user id</t>
  </si>
  <si>
    <t>create_time</t>
  </si>
  <si>
    <t>TikTok สร้างเมื่อ</t>
  </si>
  <si>
    <t>signature_ok</t>
  </si>
  <si>
    <t>boolean</t>
  </si>
  <si>
    <t>ลายเซ็นถูกต้อง</t>
  </si>
  <si>
    <t>content</t>
  </si>
  <si>
    <t>content (แกะจาก string แล้ว)</t>
  </si>
  <si>
    <t>ข้อมูลดิบ (อาจมีข้อมูลส่วนบุคคล)</t>
  </si>
  <si>
    <t>raw</t>
  </si>
  <si>
    <t>body ดิบทั้งก้อน</t>
  </si>
  <si>
    <t>body_hash</t>
  </si>
  <si>
    <t>ลายนิ้วมือ body (กันซ้ำ)</t>
  </si>
  <si>
    <t>video_id</t>
  </si>
  <si>
    <t>คลิป</t>
  </si>
  <si>
    <t>ชื่อ/คำบรรยาย (ตัดสั้น)</t>
  </si>
  <si>
    <t>share_url</t>
  </si>
  <si>
    <t>ลิงก์คลิป</t>
  </si>
  <si>
    <t>duration</t>
  </si>
  <si>
    <t>ยาว (วินาที)</t>
  </si>
  <si>
    <t>view_count</t>
  </si>
  <si>
    <t>วิว</t>
  </si>
  <si>
    <t>like_count</t>
  </si>
  <si>
    <t>ไลก์</t>
  </si>
  <si>
    <t>comment_count</t>
  </si>
  <si>
    <t>share_count</t>
  </si>
  <si>
    <t>channel_id</t>
  </si>
  <si>
    <t>ช่อง (UC...)</t>
  </si>
  <si>
    <t>handle</t>
  </si>
  <si>
    <t>@handle ที่ตั้งไว้ใน .env</t>
  </si>
  <si>
    <t>subscriber_count</t>
  </si>
  <si>
    <t>วิวรวมทั้งช่อง</t>
  </si>
  <si>
    <t>ช่อง</t>
  </si>
  <si>
    <t>published_at</t>
  </si>
  <si>
    <t>ชื่อคลิป (ตัดสั้น)</t>
  </si>
  <si>
    <t>is_short</t>
  </si>
  <si>
    <t>เป็น Shorts ไหม (ยาวไม่เกิน 3 นาที)</t>
  </si>
  <si>
    <t>varchar(24)</t>
  </si>
  <si>
    <t>ประเภท</t>
  </si>
  <si>
    <t>name</t>
  </si>
  <si>
    <t>เรื่อง</t>
  </si>
  <si>
    <t>target</t>
  </si>
  <si>
    <t>ปลายทาง</t>
  </si>
  <si>
    <t>LINE user id</t>
  </si>
  <si>
    <t>ok</t>
  </si>
  <si>
    <t>สำเร็จ</t>
  </si>
  <si>
    <t>ms</t>
  </si>
  <si>
    <t>ใช้เวลา (มิลลิวินาที)</t>
  </si>
  <si>
    <t>detail</t>
  </si>
  <si>
    <t>รายละเอียด</t>
  </si>
  <si>
    <t>seller</t>
  </si>
  <si>
    <t>เซลล์</t>
  </si>
  <si>
    <t>ชื่อพนักงาน (ผลงานรายคน)</t>
  </si>
  <si>
    <t>team</t>
  </si>
  <si>
    <t>varchar(20)</t>
  </si>
  <si>
    <t>ทีม</t>
  </si>
  <si>
    <t>follow_total</t>
  </si>
  <si>
    <t>ต้องตาม</t>
  </si>
  <si>
    <t>stuck_deals</t>
  </si>
  <si>
    <t>ดีลค้าง</t>
  </si>
  <si>
    <t>not_called</t>
  </si>
  <si>
    <t>ยังไม่โทร</t>
  </si>
  <si>
    <t>no_status</t>
  </si>
  <si>
    <t>ไม่มีสถานะ</t>
  </si>
  <si>
    <t>เวลาที่แก้แถวนี้ล่าสุด</t>
  </si>
  <si>
    <t>nags</t>
  </si>
  <si>
    <t>โดนทวง (ครั้ง/วัน)</t>
  </si>
  <si>
    <t>nag_call</t>
  </si>
  <si>
    <t>โดนทวง-โทร</t>
  </si>
  <si>
    <t>nag_deal</t>
  </si>
  <si>
    <t>โดนทวง-ดีล</t>
  </si>
  <si>
    <t>nag_status</t>
  </si>
  <si>
    <t>โดนทวง-สถานะ</t>
  </si>
  <si>
    <t>ชนิดฟอร์ม — finance = เช็คไฟแนนซ์ก่อนเซ็น · loan = ขอสินเชื่อ</t>
  </si>
  <si>
    <t>ข้อมูลในฟอร์มทั้งก้อน (JSON)</t>
  </si>
  <si>
    <t>ข้อมูลลูกค้าในฟอร์ม</t>
  </si>
  <si>
    <t>เวลาที่สร้างแถวนี้</t>
  </si>
  <si>
    <t>key</t>
  </si>
  <si>
    <t>ชื่อคีย์ (ความหมายแต่ละคีย์ดูแท็บ 'คีย์ใน dash_kv')</t>
  </si>
  <si>
    <t>ค่าที่เก็บ (JSON) — บางคีย์มี LINE user id ของพนักงาน</t>
  </si>
  <si>
    <t>จันทร์ของสัปดาห์</t>
  </si>
  <si>
    <t>lead</t>
  </si>
  <si>
    <t>Lead (ไม่รวม RJ)</t>
  </si>
  <si>
    <t>rj</t>
  </si>
  <si>
    <t>RJ (ลีดที่ถูกรีเจ็ก ไม่นับเป็นลีด)</t>
  </si>
  <si>
    <t>booking</t>
  </si>
  <si>
    <t>จอง</t>
  </si>
  <si>
    <t>done</t>
  </si>
  <si>
    <t>ปล่อย</t>
  </si>
  <si>
    <t>deal_value</t>
  </si>
  <si>
    <t>฿ ปล่อย</t>
  </si>
  <si>
    <t>live</t>
  </si>
  <si>
    <t>ไลฟ์</t>
  </si>
  <si>
    <t>clip</t>
  </si>
  <si>
    <t>code</t>
  </si>
  <si>
    <t>varchar(4)</t>
  </si>
  <si>
    <t>รหัสสาขา (prefix)</t>
  </si>
  <si>
    <t>ชื่อสาขา</t>
  </si>
  <si>
    <t>active</t>
  </si>
  <si>
    <t>เปิดใช้งาน</t>
  </si>
  <si>
    <t>varchar(12)</t>
  </si>
  <si>
    <t>รหัสรถ (คีย์หลัก — ตารางอื่นอ้างถึงด้วยค่านี้)</t>
  </si>
  <si>
    <t>branch</t>
  </si>
  <si>
    <t>รหัสสาขา (ตรงกับ cars_branch.code — ไม่ได้ผูกเป็น foreign key)</t>
  </si>
  <si>
    <t>plate</t>
  </si>
  <si>
    <t>ทะเบียน</t>
  </si>
  <si>
    <t>brand</t>
  </si>
  <si>
    <t>ยี่ห้อ</t>
  </si>
  <si>
    <t>model</t>
  </si>
  <si>
    <t>varchar(60)</t>
  </si>
  <si>
    <t>รุ่น</t>
  </si>
  <si>
    <t>year</t>
  </si>
  <si>
    <t>ปี</t>
  </si>
  <si>
    <t>color</t>
  </si>
  <si>
    <t>varchar(30)</t>
  </si>
  <si>
    <t>สี</t>
  </si>
  <si>
    <t>km</t>
  </si>
  <si>
    <t>เลขไมล์</t>
  </si>
  <si>
    <t>stage</t>
  </si>
  <si>
    <t>สเตป</t>
  </si>
  <si>
    <t>intake = รับเข้า · photo_wait = รถรอถ่ายรูป · repair = เช็คซ่อม · repair_done = ซ่อมเสร็จรอตรวจ · parts = สั่งของ/รออะไหล่ · upholstery = งานเบาะ · paint_in = อู่สีใน · paint_out = อู่สีนอก · paint_check = รอตรวจสี · film = ติดฟิล์ม · wash = ชงล้าง · wash_release = ชงล้างรอปล่อย · qc_show = รอ QC ตรวจ · sales_check = รอเซลล์ตรวจรถขึ้นโชว์ · show = รถพร้อมขาย (ตรวจรถขึ้นโชว์) · reserve = จอง · finance = จัดไฟแนนซ์ · transport_check = ตรวจขนส่ง · closing = รอปิดการขาย · qc_release = ตรวจรถรอปล่อย · release = ปล่อยรถ (ส่งรูปปล่อยรถ) · sold = ขายแล้ว</t>
  </si>
  <si>
    <t>stage_since</t>
  </si>
  <si>
    <t>เข้าสเตปเมื่อ</t>
  </si>
  <si>
    <t>date_in</t>
  </si>
  <si>
    <t>วันรับเข้า</t>
  </si>
  <si>
    <t>frontline_at</t>
  </si>
  <si>
    <t>ขึ้นหน้าร้านเมื่อ</t>
  </si>
  <si>
    <t>active = กำลังดำเนินการ · sold = ขายแล้ว · hold = พัก/ระงับ (รถบริษัท/CEO/ยืม)</t>
  </si>
  <si>
    <t>book_status</t>
  </si>
  <si>
    <t>varchar(14)</t>
  </si>
  <si>
    <t>สถานะเล่ม</t>
  </si>
  <si>
    <t>ready = พร้อมเล่ม · waiting = รอเล่ม · transferring = ระหว่างโอน · copy = ใช้สำเนา · finance = ติดไฟแนนซ์</t>
  </si>
  <si>
    <t>tax_due_date</t>
  </si>
  <si>
    <t>ครบกำหนดต่อภาษี</t>
  </si>
  <si>
    <t>doc_registration</t>
  </si>
  <si>
    <t>varchar(100)</t>
  </si>
  <si>
    <t>เล่มทะเบียน</t>
  </si>
  <si>
    <t>photo</t>
  </si>
  <si>
    <t>รูปรถ</t>
  </si>
  <si>
    <t>note</t>
  </si>
  <si>
    <t>extra</t>
  </si>
  <si>
    <t>ข้อมูลเพิ่มเติมที่นำเข้าจาก Car Spend (JSON) — ราคานำเข้า · ลิงก์รูป · รูปขาย</t>
  </si>
  <si>
    <t>deleted_at</t>
  </si>
  <si>
    <t>ลบเมื่อ (ถังขยะ)</t>
  </si>
  <si>
    <t>drive_folder_id</t>
  </si>
  <si>
    <t>โฟลเดอร์ Drive</t>
  </si>
  <si>
    <t>plate_original</t>
  </si>
  <si>
    <t>ทะเบียนเดิม (ก่อนแก้)</t>
  </si>
  <si>
    <t>priority</t>
  </si>
  <si>
    <t>ความด่วน</t>
  </si>
  <si>
    <t>urgent_high = ด่วนมาก · urgent = ด่วน · normal = ปกติ · low = ไม่เร่ง</t>
  </si>
  <si>
    <t>need_content</t>
  </si>
  <si>
    <t>ยังไม่ได้ถ่ายคอนเทนต์</t>
  </si>
  <si>
    <t>need_photo</t>
  </si>
  <si>
    <t>ยังไม่ได้ถ่ายรูป</t>
  </si>
  <si>
    <t>need_tire</t>
  </si>
  <si>
    <t>รอเปลี่ยนยาง</t>
  </si>
  <si>
    <t>price</t>
  </si>
  <si>
    <t>ราคาขาย (บาท)</t>
  </si>
  <si>
    <t>identity</t>
  </si>
  <si>
    <t>บัญชี (user/LINE id)</t>
  </si>
  <si>
    <t>ชื่อ</t>
  </si>
  <si>
    <t>ชื่อคน</t>
  </si>
  <si>
    <t>method</t>
  </si>
  <si>
    <t>วิธี</t>
  </si>
  <si>
    <t>line = LINE · admin = แอดมินรหัสผ่าน · worker = บัญชีรหัสผ่าน</t>
  </si>
  <si>
    <t>success</t>
  </si>
  <si>
    <t>role</t>
  </si>
  <si>
    <t>บทบาท</t>
  </si>
  <si>
    <t>ip</t>
  </si>
  <si>
    <t>IP ที่เข้ามา</t>
  </si>
  <si>
    <t>IP / อุปกรณ์</t>
  </si>
  <si>
    <t>user_agent</t>
  </si>
  <si>
    <t>อุปกรณ์</t>
  </si>
  <si>
    <t>reason</t>
  </si>
  <si>
    <t>หมายเหตุ/สาเหตุ</t>
  </si>
  <si>
    <t>บัญชี (ชื่อผู้ใช้ หรือ LINE user id)</t>
  </si>
  <si>
    <t>ชื่อที่โชว์</t>
  </si>
  <si>
    <t>page</t>
  </si>
  <si>
    <t>อยู่หน้าไหนของเว็บ</t>
  </si>
  <si>
    <t>เห็นล่าสุดเมื่อ</t>
  </si>
  <si>
    <t>worker_name</t>
  </si>
  <si>
    <t>ผู้สแกน</t>
  </si>
  <si>
    <t>worker_id</t>
  </si>
  <si>
    <t>LINE userId</t>
  </si>
  <si>
    <t>รูป</t>
  </si>
  <si>
    <t>car_id</t>
  </si>
  <si>
    <t>รถ</t>
  </si>
  <si>
    <t>FK → cars_car.code</t>
  </si>
  <si>
    <t>media</t>
  </si>
  <si>
    <t>ไฟล์แนบ (รูป/วิดีโอ)</t>
  </si>
  <si>
    <t>user_id</t>
  </si>
  <si>
    <t>LINE user id ที่ส่งมา</t>
  </si>
  <si>
    <t>วันที่ (โซนไทย)</t>
  </si>
  <si>
    <t>checkin_at</t>
  </si>
  <si>
    <t>เวลาเช็คชื่อ</t>
  </si>
  <si>
    <t>time_hm</t>
  </si>
  <si>
    <t>เวลาที่อ่านได้</t>
  </si>
  <si>
    <t>work_start</t>
  </si>
  <si>
    <t>เวลาเข้างานที่ใช้ตัดสิน</t>
  </si>
  <si>
    <t>ontime = ตรงเวลา · late = สาย · abnormal = ผิดปกติ/อ่านไม่ออก</t>
  </si>
  <si>
    <t>เหตุผล</t>
  </si>
  <si>
    <t>time_source</t>
  </si>
  <si>
    <t>เวลามาจาก</t>
  </si>
  <si>
    <t>full_address</t>
  </si>
  <si>
    <t>สถานที่</t>
  </si>
  <si>
    <t>ที่อยู่/สถานที่</t>
  </si>
  <si>
    <t>province</t>
  </si>
  <si>
    <t>จังหวัด</t>
  </si>
  <si>
    <t>หมายเหตุลา/ป่วย</t>
  </si>
  <si>
    <t>ข้อมูลดิบที่ AI อ่านได้</t>
  </si>
  <si>
    <t>employee_id</t>
  </si>
  <si>
    <t>พนักงาน</t>
  </si>
  <si>
    <t>FK → checkout_employee.id</t>
  </si>
  <si>
    <t>nickname</t>
  </si>
  <si>
    <t>ชื่อเล่น</t>
  </si>
  <si>
    <t>ชื่อที่ตั้งใน LINE</t>
  </si>
  <si>
    <t>position</t>
  </si>
  <si>
    <t>ตำแหน่ง/ทีม</t>
  </si>
  <si>
    <t>เวลาเข้างาน</t>
  </si>
  <si>
    <t>day_off</t>
  </si>
  <si>
    <t>วันหยุด</t>
  </si>
  <si>
    <t>group_id</t>
  </si>
  <si>
    <t>กลุ่ม LINE ที่ผูกไว้</t>
  </si>
  <si>
    <t>ยังทำงานอยู่</t>
  </si>
  <si>
    <t>source</t>
  </si>
  <si>
    <t>ที่มา</t>
  </si>
  <si>
    <t>sheet = นำเข้าจากชีต · manual = เพิ่มในระบบ · auto = ระบบเพิ่มให้ตอนเจอในกลุ่ม</t>
  </si>
  <si>
    <t>track_checkin</t>
  </si>
  <si>
    <t>ต้องเช็คชื่อเข้างาน</t>
  </si>
  <si>
    <t>notify_missing</t>
  </si>
  <si>
    <t>แท็กเวลามีคนไม่เช็คชื่อ</t>
  </si>
  <si>
    <t>note_date</t>
  </si>
  <si>
    <t>วันที่เขียนหมายเหตุ</t>
  </si>
  <si>
    <t>note_sticky</t>
  </si>
  <si>
    <t>หมายเหตุค้างไว้จนกว่าจะลบ</t>
  </si>
  <si>
    <t>plate_text</t>
  </si>
  <si>
    <t>ทะเบียนที่พิมพ์</t>
  </si>
  <si>
    <t>borrower_name</t>
  </si>
  <si>
    <t>ผู้เบิก/ผู้ขับ</t>
  </si>
  <si>
    <t>borrower_line_id</t>
  </si>
  <si>
    <t>LINE id ผู้เบิก</t>
  </si>
  <si>
    <t>purpose</t>
  </si>
  <si>
    <t>วัตถุประสงค์</t>
  </si>
  <si>
    <t>destination</t>
  </si>
  <si>
    <t>ปลายทาง/สาขา</t>
  </si>
  <si>
    <t>เวลาเบิก</t>
  </si>
  <si>
    <t>returned_at</t>
  </si>
  <si>
    <t>เวลาคืน</t>
  </si>
  <si>
    <t>odo_out</t>
  </si>
  <si>
    <t>ไมล์ออก (OCR)</t>
  </si>
  <si>
    <t>odo_in</t>
  </si>
  <si>
    <t>ไมล์เข้า (OCR)</t>
  </si>
  <si>
    <t>waiting_files = รอไฟล์ · checking = กำลังตรวจ · approved = ผ่าน (AI) · incomplete = ไม่ครบ — ทวง · pending_human = รอคนยืนยัน · system_error = ระบบขัดข้อง — คนตรวจ · approved_by_human = ผ่านโดยคน · equipment_hold = ระงับ — อุปกรณ์เสีย · cancelled = ยกเลิก</t>
  </si>
  <si>
    <t>approved_by</t>
  </si>
  <si>
    <t>อนุมัติ/ผ่านโดย</t>
  </si>
  <si>
    <t>damage_reported</t>
  </si>
  <si>
    <t>แจ้งความเสียหายตอนคืน</t>
  </si>
  <si>
    <t>รถคันไหน (รหัสรถ → cars_car.code)</t>
  </si>
  <si>
    <t>config_id</t>
  </si>
  <si>
    <t>ชุดเช็คลิสต์ (→ checkout_checklistconfig.id)</t>
  </si>
  <si>
    <t>FK → checkout_checklistconfig.id</t>
  </si>
  <si>
    <t>fuel_requested</t>
  </si>
  <si>
    <t>ขอเบิกน้ำมันด้วย</t>
  </si>
  <si>
    <t>purpose_key</t>
  </si>
  <si>
    <t>ประเภทงาน</t>
  </si>
  <si>
    <t>web = กดในเว็บ · line = บอทอ่านจากกลุ่ม LINE · import = นำเข้าจาก log</t>
  </si>
  <si>
    <t>shots_in</t>
  </si>
  <si>
    <t>มุมที่ถ่ายตอนคืน</t>
  </si>
  <si>
    <t>shots_out</t>
  </si>
  <si>
    <t>มุมที่ถ่ายตอนเบิก</t>
  </si>
  <si>
    <t>room_line_group_id</t>
  </si>
  <si>
    <t>LINE group id</t>
  </si>
  <si>
    <t>ชื่อห้อง/สาขา</t>
  </si>
  <si>
    <t>เปิดใช้</t>
  </si>
  <si>
    <t>group_window_min</t>
  </si>
  <si>
    <t>หน้าต่างจับกลุ่มไฟล์ (นาที)</t>
  </si>
  <si>
    <t>settle_seconds</t>
  </si>
  <si>
    <t>รอไฟล์หยุดไหลก่อนตรวจ (วินาที)</t>
  </si>
  <si>
    <t>remind_after_min</t>
  </si>
  <si>
    <t>ทวงหลังไม่ครบ (นาที)</t>
  </si>
  <si>
    <t>escalate_after_min</t>
  </si>
  <si>
    <t>แจ้งหัวหน้าเมื่อเงียบเกิน (นาที)</t>
  </si>
  <si>
    <t>order</t>
  </si>
  <si>
    <t>media_type</t>
  </si>
  <si>
    <t>photo = รูป · video = วิดีโอ</t>
  </si>
  <si>
    <t>required</t>
  </si>
  <si>
    <t>บังคับ</t>
  </si>
  <si>
    <t>min_count</t>
  </si>
  <si>
    <t>จำนวนขั้นต่ำ</t>
  </si>
  <si>
    <t>allow_from_group_shot</t>
  </si>
  <si>
    <t>ยอมรับจากรูปรวมได้</t>
  </si>
  <si>
    <t>special_rule</t>
  </si>
  <si>
    <t>varchar(160)</t>
  </si>
  <si>
    <t>เงื่อนไขพิเศษ</t>
  </si>
  <si>
    <t>reporter</t>
  </si>
  <si>
    <t>ผู้แจ้ง</t>
  </si>
  <si>
    <t>issue</t>
  </si>
  <si>
    <t>อาการ</t>
  </si>
  <si>
    <t>open = รอจัดการ · approved = อนุมัติให้ออก · resolved = แก้แล้ว</t>
  </si>
  <si>
    <t>อนุมัติโดย</t>
  </si>
  <si>
    <t>approved_at</t>
  </si>
  <si>
    <t>อนุมัติเมื่อ</t>
  </si>
  <si>
    <t>phase</t>
  </si>
  <si>
    <t>รอบ</t>
  </si>
  <si>
    <t>out = เบิก · in = คืน</t>
  </si>
  <si>
    <t>file</t>
  </si>
  <si>
    <t>ไฟล์</t>
  </si>
  <si>
    <t>ai_label</t>
  </si>
  <si>
    <t>AI จำแนก</t>
  </si>
  <si>
    <t>ai_confidence</t>
  </si>
  <si>
    <t>float8</t>
  </si>
  <si>
    <t>ความมั่นใจ AI</t>
  </si>
  <si>
    <t>phash</t>
  </si>
  <si>
    <t>perceptual hash (กันรูปซ้ำ)</t>
  </si>
  <si>
    <t>line_message_id</t>
  </si>
  <si>
    <t>รหัสข้อความ LINE ของรูปนี้ (ถ้ามาจากกลุ่ม)</t>
  </si>
  <si>
    <t>checklist_item_id</t>
  </si>
  <si>
    <t>ข้อในเช็คลิสต์ (→ checkout_checklistitem.id)</t>
  </si>
  <si>
    <t>FK → checkout_checklistitem.id</t>
  </si>
  <si>
    <t>movement_id</t>
  </si>
  <si>
    <t>รอบเบิก-คืน (→ checkout_carmovement.id)</t>
  </si>
  <si>
    <t>FK → checkout_carmovement.id</t>
  </si>
  <si>
    <t>person</t>
  </si>
  <si>
    <t>ผู้ฝ่าฝืน</t>
  </si>
  <si>
    <t>person_line_id</t>
  </si>
  <si>
    <t>LINE id</t>
  </si>
  <si>
    <t>type</t>
  </si>
  <si>
    <t>no_evidence = ออกรถหลักฐานไม่ครบ · ignored_reminder = เมินการทวง (เงียบเกินกำหนด) · reused_photo = ใช้รูปซ้ำ/ของคนก่อน</t>
  </si>
  <si>
    <t>claimed_at</t>
  </si>
  <si>
    <t>รับลูกค้าเมื่อ</t>
  </si>
  <si>
    <t>first_reply_at</t>
  </si>
  <si>
    <t>เจ้าของปัจจุบันตอบครั้งแรก</t>
  </si>
  <si>
    <t>awaiting_since</t>
  </si>
  <si>
    <t>ลูกค้ารอคำตอบตั้งแต่</t>
  </si>
  <si>
    <t>due_at</t>
  </si>
  <si>
    <t>ต้องตอบภายใน</t>
  </si>
  <si>
    <t>escalated_at</t>
  </si>
  <si>
    <t>แจ้งแอดมินว่าเลยเวลาเมื่อ</t>
  </si>
  <si>
    <t>last_in_at</t>
  </si>
  <si>
    <t>ลูกค้าส่งล่าสุด</t>
  </si>
  <si>
    <t>last_out_at</t>
  </si>
  <si>
    <t>เราตอบล่าสุด</t>
  </si>
  <si>
    <t>last_at</t>
  </si>
  <si>
    <t>ขยับล่าสุด</t>
  </si>
  <si>
    <t>last_preview</t>
  </si>
  <si>
    <t>ข้อความล่าสุด</t>
  </si>
  <si>
    <t>บทสนทนา</t>
  </si>
  <si>
    <t>last_dir</t>
  </si>
  <si>
    <t>ข้อความล่าสุดเป็นของ</t>
  </si>
  <si>
    <t>เซลล์ที่ดูแล</t>
  </si>
  <si>
    <t>profile_id</t>
  </si>
  <si>
    <t>ลูกค้า</t>
  </si>
  <si>
    <t>FK → checkout_lineprofile.id · UNIQUE</t>
  </si>
  <si>
    <t>picture_at</t>
  </si>
  <si>
    <t>ดึงโปรไฟล์ล่าสุด</t>
  </si>
  <si>
    <t>picture_url</t>
  </si>
  <si>
    <t>varchar(500)</t>
  </si>
  <si>
    <t>รูปโปรไฟล์ LINE (ลิงก์)</t>
  </si>
  <si>
    <t>รูปโปรไฟล์</t>
  </si>
  <si>
    <t>action</t>
  </si>
  <si>
    <t>เหตุการณ์</t>
  </si>
  <si>
    <t>claim = รับลูกค้า · assign = แอดมินโอนให้ · release = ปล่อยคืนคิว · escalate = เลยเวลา แจ้งแอดมิน · reply = ตอบลูกค้า · dismiss = ไม่ต้องตอบ</t>
  </si>
  <si>
    <t>emp_name</t>
  </si>
  <si>
    <t>ชื่อเซลล์</t>
  </si>
  <si>
    <t>by_name</t>
  </si>
  <si>
    <t>คนสั่ง</t>
  </si>
  <si>
    <t>wait_sec</t>
  </si>
  <si>
    <t>ลูกค้ารอ (วินาที)</t>
  </si>
  <si>
    <t>on_time</t>
  </si>
  <si>
    <t>ทันเวลา</t>
  </si>
  <si>
    <t>เมื่อ</t>
  </si>
  <si>
    <t>chat_id</t>
  </si>
  <si>
    <t>FK → checkout_chatowner.id</t>
  </si>
  <si>
    <t>เซลล์ที่เกี่ยวข้อง</t>
  </si>
  <si>
    <t>ref</t>
  </si>
  <si>
    <t>รหัสอ้างอิง</t>
  </si>
  <si>
    <t>เมื่อไหร่</t>
  </si>
  <si>
    <t>date_text</t>
  </si>
  <si>
    <t>time_text</t>
  </si>
  <si>
    <t>case_code</t>
  </si>
  <si>
    <t>รหัสเคส</t>
  </si>
  <si>
    <t>who</t>
  </si>
  <si>
    <t>ผู้พูด</t>
  </si>
  <si>
    <t>ข้อความ</t>
  </si>
  <si>
    <t>case_status</t>
  </si>
  <si>
    <t>สถานะเคส</t>
  </si>
  <si>
    <t>car_text</t>
  </si>
  <si>
    <t>ที่ลูกค้าพิมพ์มา</t>
  </si>
  <si>
    <t>car_model</t>
  </si>
  <si>
    <t>รุ่นที่จับได้</t>
  </si>
  <si>
    <t>car_year_min</t>
  </si>
  <si>
    <t>smallint</t>
  </si>
  <si>
    <t>ปีตั้งแต่</t>
  </si>
  <si>
    <t>car_year_max</t>
  </si>
  <si>
    <t>ปีถึง</t>
  </si>
  <si>
    <t>budget_max</t>
  </si>
  <si>
    <t>งบสูงสุด (บาท)</t>
  </si>
  <si>
    <t>budget_min</t>
  </si>
  <si>
    <t>งบต่ำสุด (บาท)</t>
  </si>
  <si>
    <t>monthly_max</t>
  </si>
  <si>
    <t>ผ่อนไหวเดือนละ (บาท)</t>
  </si>
  <si>
    <t>down_max</t>
  </si>
  <si>
    <t>ดาวน์ได้ (บาท)</t>
  </si>
  <si>
    <t>new = เพิ่งถามเข้ามา · lead = เป็นลีดแล้ว (มีเซลล์ตาม) · booked = จองแล้ว · won = ปิดการขายได้ · rj = ไม่ได้ไปต่อ (RJ)</t>
  </si>
  <si>
    <t>reject_kind</t>
  </si>
  <si>
    <t>RJ เพราะ</t>
  </si>
  <si>
    <t>price = ราคา/งบไม่ลงตัว · nocar = ไม่มีรถรุ่นที่ต้องการ · credit = เครดิต/ไฟแนนซ์ไม่ผ่าน · lost = ซื้อที่อื่น/ได้รถแล้ว · silent = ติดต่อไม่ได้/เงียบไป · other = อื่นๆ</t>
  </si>
  <si>
    <t>reject_note</t>
  </si>
  <si>
    <t>รายละเอียดที่ปิดเคส</t>
  </si>
  <si>
    <t>waiting</t>
  </si>
  <si>
    <t>รอรถที่ตรงสเปกอยู่</t>
  </si>
  <si>
    <t>lead_code</t>
  </si>
  <si>
    <t>รหัสลีด (ถ้ามี)</t>
  </si>
  <si>
    <t>chat = จับจากแชทลูกค้า · manual = แอดมินกรอกเอง · group = จากกลุ่มจ่ายเบอร์</t>
  </si>
  <si>
    <t>evidence</t>
  </si>
  <si>
    <t>ข้อความที่ใช้สรุป</t>
  </si>
  <si>
    <t>confidence</t>
  </si>
  <si>
    <t>ความมั่นใจ</t>
  </si>
  <si>
    <t>บันทึกเมื่อ</t>
  </si>
  <si>
    <t>แก้ล่าสุด</t>
  </si>
  <si>
    <t>matched_at</t>
  </si>
  <si>
    <t>เจอรถที่ตรง</t>
  </si>
  <si>
    <t>FK → checkout_lineprofile.id</t>
  </si>
  <si>
    <t>channel</t>
  </si>
  <si>
    <t>ช่องทางที่ได้ลีดมา</t>
  </si>
  <si>
    <t>contact</t>
  </si>
  <si>
    <t>เบอร์/ไลน์ไอดีที่ให้ไว้</t>
  </si>
  <si>
    <t>เบอร์/ช่องทางติดต่อ</t>
  </si>
  <si>
    <t>customer_name</t>
  </si>
  <si>
    <t>ชื่อลูกค้า (เคสจากกลุ่ม)</t>
  </si>
  <si>
    <t>chat_type</t>
  </si>
  <si>
    <t>ประเภทแชท</t>
  </si>
  <si>
    <t>user = ลูกค้าทักเข้าเพจ</t>
  </si>
  <si>
    <t>thread_id</t>
  </si>
  <si>
    <t>ห้องสนทนา (t_…)</t>
  </si>
  <si>
    <t>message_id</t>
  </si>
  <si>
    <t>รหัสข้อความของ Facebook (ไม่ซ้ำ)</t>
  </si>
  <si>
    <t>sender_id</t>
  </si>
  <si>
    <t>PSID ผู้ส่ง</t>
  </si>
  <si>
    <t>Facebook PSID</t>
  </si>
  <si>
    <t>sender_name</t>
  </si>
  <si>
    <t>ชื่อผู้ส่ง</t>
  </si>
  <si>
    <t>msg_type</t>
  </si>
  <si>
    <t>sticker_id</t>
  </si>
  <si>
    <t>สติกเกอร์</t>
  </si>
  <si>
    <t>ข้อมูลดิบของข้อความ</t>
  </si>
  <si>
    <t>has_media</t>
  </si>
  <si>
    <t>มีไฟล์แนบ</t>
  </si>
  <si>
    <t>media_token</t>
  </si>
  <si>
    <t>ไฟล์ที่โหลดเก็บแล้ว</t>
  </si>
  <si>
    <t>direction</t>
  </si>
  <si>
    <t>ทิศทาง</t>
  </si>
  <si>
    <t>in = ลูกค้าส่งมา · out = เพจตอบไป</t>
  </si>
  <si>
    <t>sent_by_name</t>
  </si>
  <si>
    <t>ชื่อคนตอบ</t>
  </si>
  <si>
    <t>send_error</t>
  </si>
  <si>
    <t>ส่งไม่สำเร็จเพราะ</t>
  </si>
  <si>
    <t>เวลาที่ส่ง</t>
  </si>
  <si>
    <t>sent_by_id</t>
  </si>
  <si>
    <t>คนตอบ</t>
  </si>
  <si>
    <t>PSID</t>
  </si>
  <si>
    <t>ชื่อใน Facebook</t>
  </si>
  <si>
    <t>ชื่อเล่น (ถ้าเป็นพนักงาน)</t>
  </si>
  <si>
    <t>is_employee</t>
  </si>
  <si>
    <t>เป็นพนักงาน</t>
  </si>
  <si>
    <t>เจอครั้งแรกจาก</t>
  </si>
  <si>
    <t>user = ทักเข้าเพจ</t>
  </si>
  <si>
    <t>inbox_link</t>
  </si>
  <si>
    <t>ลิงก์เปิดใน Inbox</t>
  </si>
  <si>
    <t>ลิงก์เปิดแชท</t>
  </si>
  <si>
    <t>thread_updated</t>
  </si>
  <si>
    <t>ห้องขยับล่าสุด (ตอนดึง)</t>
  </si>
  <si>
    <t>msg_count</t>
  </si>
  <si>
    <t>จำนวนข้อความในห้อง</t>
  </si>
  <si>
    <t>ทักครั้งแรก (เท่าที่ดึงได้)</t>
  </si>
  <si>
    <t>ล่าสุด</t>
  </si>
  <si>
    <t>คำตอบดิบจาก Meta</t>
  </si>
  <si>
    <t>เป็นพนักงานคนนี้</t>
  </si>
  <si>
    <t>group_name</t>
  </si>
  <si>
    <t>ชื่อกลุ่ม</t>
  </si>
  <si>
    <t>LINE message id</t>
  </si>
  <si>
    <t>LINE user id ผู้ส่ง</t>
  </si>
  <si>
    <t>ชื่อเล่นผู้ส่ง</t>
  </si>
  <si>
    <t>รหัสสติกเกอร์</t>
  </si>
  <si>
    <t>sticker_package</t>
  </si>
  <si>
    <t>รหัสชุดสติกเกอร์</t>
  </si>
  <si>
    <t>emojis</t>
  </si>
  <si>
    <t>LINE emoji ในข้อความ</t>
  </si>
  <si>
    <t>ข้อมูลอื่นของ event</t>
  </si>
  <si>
    <t>เวลาในกลุ่ม</t>
  </si>
  <si>
    <t>group = แชทกลุ่ม · user = ลูกค้าทักเข้า OA · room = ห้องคุย</t>
  </si>
  <si>
    <t>บอทตัวไหนได้ยินข้อความนี้ (LINE user id ของคนเดียวกันต่างกันตามบอท)</t>
  </si>
  <si>
    <t>in = ลูกค้าส่งมา · out = เราตอบไป</t>
  </si>
  <si>
    <t>รหัสข้อความ LINE</t>
  </si>
  <si>
    <t>sender_line_id</t>
  </si>
  <si>
    <t>ผู้ส่ง</t>
  </si>
  <si>
    <t>event_type</t>
  </si>
  <si>
    <t>event ดิบ</t>
  </si>
  <si>
    <t>pending = รอโหลด · done = โหลดแล้ว · failed = ล้มเหลว · skipped = ข้าม</t>
  </si>
  <si>
    <t>attempts</t>
  </si>
  <si>
    <t>ครั้งที่พยายามโหลด</t>
  </si>
  <si>
    <t>coaching = ห้องโค้ชเซลล์ (Senior/Junior) · lead = จ่ายเบอร์ / จ่ายลีด · tradein = ซื้อ-ขาย / เทิร์นรถ · booking = จองรถ · purchase = จัดซื้อ / รับรถเข้า · finance = จัดไฟแนนซ์ · transfer = รับ-ส่งระหว่างสาขา · checkin = เช็คชื่อเข้างาน · admin = ทีมแอดมิน / ออฟฟิศ · content = คอนเทนต์ / การตลาด · hr = รับสมัครงาน / บุคคล · other = อื่นๆ / ยังไม่จัดหมวด</t>
  </si>
  <si>
    <t>kind_auto</t>
  </si>
  <si>
    <t>ประเภทนี้ระบบเดาให้</t>
  </si>
  <si>
    <t>channels</t>
  </si>
  <si>
    <t>บัญชีบอทที่อยู่ในกลุ่มนี้</t>
  </si>
  <si>
    <t>ยังใช้งานอยู่</t>
  </si>
  <si>
    <t>รู้จักครั้งแรก</t>
  </si>
  <si>
    <t>ได้ยินล่าสุด</t>
  </si>
  <si>
    <t>status_message</t>
  </si>
  <si>
    <t>สเตตัส</t>
  </si>
  <si>
    <t>สเตตัสส่วนตัว</t>
  </si>
  <si>
    <t>language</t>
  </si>
  <si>
    <t>ภาษา</t>
  </si>
  <si>
    <t>ชื่อเล่น (จากชีตพนักงาน)</t>
  </si>
  <si>
    <t>user = ทักเข้า OA · group = เจอในกลุ่ม · room = ห้องคุย</t>
  </si>
  <si>
    <t>กลุ่มที่เจอ</t>
  </si>
  <si>
    <t>จำนวนข้อความที่เคยส่ง</t>
  </si>
  <si>
    <t>ทักครั้งแรก</t>
  </si>
  <si>
    <t>คำตอบดิบจาก LINE</t>
  </si>
  <si>
    <t>เจอครั้งแรกจากบัญชี</t>
  </si>
  <si>
    <t>เคยเห็นจากบัญชีไหนบ้าง</t>
  </si>
  <si>
    <t>varchar(150)</t>
  </si>
  <si>
    <t>บทบาท (→ auth_group.id)</t>
  </si>
  <si>
    <t>FK → auth_group.id · UNIQUE</t>
  </si>
  <si>
    <t>permission_id</t>
  </si>
  <si>
    <t>สิทธิ์ย่อย (→ auth_permission.id)</t>
  </si>
  <si>
    <t>FK → auth_permission.id · UNIQUE</t>
  </si>
  <si>
    <t>varchar(255)</t>
  </si>
  <si>
    <t>content_type_id</t>
  </si>
  <si>
    <t>ชนิดข้อมูล (→ django_content_type.id)</t>
  </si>
  <si>
    <t>FK → django_content_type.id · UNIQUE</t>
  </si>
  <si>
    <t>codename</t>
  </si>
  <si>
    <t>รหัสชื่อ</t>
  </si>
  <si>
    <t>password</t>
  </si>
  <si>
    <t>varchar(128)</t>
  </si>
  <si>
    <t>แฮชรหัสผ่าน (ไม่ใช่รหัสจริง) — ไม่มีประโยชน์ต่อการวิเคราะห์</t>
  </si>
  <si>
    <t>last_login</t>
  </si>
  <si>
    <t>เข้าสู่ระบบครั้งสุดท้าย</t>
  </si>
  <si>
    <t>is_superuser</t>
  </si>
  <si>
    <t>สถานะผู้ใช้พิเศษ — กำหนดสิทธิ์ทุกอย่างให้ผู้ใช้ โดยไม่ต้องการมอบหมายอย่างเป็นทางการ</t>
  </si>
  <si>
    <t>ชื่อบัญชี — คนที่เข้าผ่าน LINE จะเป็น line_&lt;LINE user id&gt;</t>
  </si>
  <si>
    <t>first_name</t>
  </si>
  <si>
    <t>last_name</t>
  </si>
  <si>
    <t>นามสกุล</t>
  </si>
  <si>
    <t>email</t>
  </si>
  <si>
    <t>varchar(254)</t>
  </si>
  <si>
    <t>ที่อยู่อีเมล</t>
  </si>
  <si>
    <t>อีเมล</t>
  </si>
  <si>
    <t>is_staff</t>
  </si>
  <si>
    <t>สถานะของพนักงาน — กำหนดผู้ที่จะเข้ามาใช้งานในส่วนของผู้ดูแลระบบ</t>
  </si>
  <si>
    <t>is_active</t>
  </si>
  <si>
    <t xml:space="preserve">ใช้งานได้ — กำหนดให้ผู้ใช้มีสถานะที่สามารถเข้ามาใช้งานได้ เลือกออกแทนที่จะลบชื่อผู้ใช้ทิ้งไป </t>
  </si>
  <si>
    <t>วันที่เข้าร่วม</t>
  </si>
  <si>
    <t>ผู้ใช้ (→ auth_user.id)</t>
  </si>
  <si>
    <t>FK → auth_user.id · UNIQUE</t>
  </si>
  <si>
    <t>UNIQUE · FK → auth_group.id</t>
  </si>
  <si>
    <t>UNIQUE · FK → auth_user.id</t>
  </si>
  <si>
    <t>UNIQUE · FK → auth_permission.id</t>
  </si>
  <si>
    <t>เวลาลงมือ</t>
  </si>
  <si>
    <t>อ็อบเจ็กต์ไอดี</t>
  </si>
  <si>
    <t>object_repr</t>
  </si>
  <si>
    <t>ชื่อของรายการที่ถูกแก้</t>
  </si>
  <si>
    <t>action_flag</t>
  </si>
  <si>
    <t>ทำอะไร — 1 = เพิ่ม · 2 = แก้ · 3 = ลบ</t>
  </si>
  <si>
    <t>1 = เพิ่ม · 2 = เปลี่ยนแปลง · 3 = ลบ</t>
  </si>
  <si>
    <t>change_message</t>
  </si>
  <si>
    <t>เปลี่ยนข้อความ</t>
  </si>
  <si>
    <t>ชนิดข้อมูลที่ถูกแก้ (→ django_content_type.id)</t>
  </si>
  <si>
    <t>FK → django_content_type.id</t>
  </si>
  <si>
    <t>ผู้ใช้</t>
  </si>
  <si>
    <t>FK → auth_user.id</t>
  </si>
  <si>
    <t>app_label</t>
  </si>
  <si>
    <t>ชื่อแอป</t>
  </si>
  <si>
    <t>ชื่อโมเดล</t>
  </si>
  <si>
    <t>app</t>
  </si>
  <si>
    <t>ชื่อขั้น migrate</t>
  </si>
  <si>
    <t>ทำเมื่อ</t>
  </si>
  <si>
    <t>session_key</t>
  </si>
  <si>
    <t>เซสชันคีย์</t>
  </si>
  <si>
    <t>session_data</t>
  </si>
  <si>
    <t>ข้อมูลเซสชัน</t>
  </si>
  <si>
    <t>expire_date</t>
  </si>
  <si>
    <t>วันหมดอายุ</t>
  </si>
  <si>
    <t>ตารางไหนเชื่อมกับตารางไหน (ใช้ JOIN)</t>
  </si>
  <si>
    <t>FK = ผูกไว้ในฐานข้อมูลจริง · เทียบค่า = ไม่ได้ผูกไว้ แต่ค่าตรงกันและใช้ join ได้</t>
  </si>
  <si>
    <t>จากตาราง</t>
  </si>
  <si>
    <t>ไปที่ตาราง</t>
  </si>
  <si>
    <t>FK</t>
  </si>
  <si>
    <t>เทียบค่า</t>
  </si>
  <si>
    <t>รหัสสาขา (BK = บ้านเก่า · ON = อ่อนนุช)</t>
  </si>
  <si>
    <t>แยกแชทเป็นรายกลุ่ม + รู้ประเภทกลุ่ม (หรือใช้ view v_group_chat ที่ join ไว้ให้แล้ว)</t>
  </si>
  <si>
    <t>ผู้ส่ง → โปรไฟล์ · ⚠ คนเดียวมี id ต่างกันในแต่ละบอท ดูคอลัมน์ channel ประกอบ</t>
  </si>
  <si>
    <t>LINE id ของคนที่ส่งรูปเช็คชื่อ</t>
  </si>
  <si>
    <t>คนที่เปลี่ยนสเตปรถ</t>
  </si>
  <si>
    <t>คนที่เบิกรถ</t>
  </si>
  <si>
    <t>ห้องแชท Facebook (เทียบคู่กับ channel = เพจ)</t>
  </si>
  <si>
    <t>PSID ผู้ส่ง (เทียบคู่กับ channel — PSID ออกต่อเพจ)</t>
  </si>
  <si>
    <t>เมื่อ platform = meta</t>
  </si>
  <si>
    <t>เมื่อ platform = tiktok</t>
  </si>
  <si>
    <t>เมื่อ platform = youtube</t>
  </si>
  <si>
    <t>คลิปนี้อยู่ช่องไหน</t>
  </si>
  <si>
    <t>ยอดของช่องไหน</t>
  </si>
  <si>
    <t>โพสต์นี้อยู่เพจไหน</t>
  </si>
  <si>
    <t>ผลรวมรายวันของบัญชีโฆษณา</t>
  </si>
  <si>
    <t>เทียบด้วยชื่อเล่น</t>
  </si>
  <si>
    <t>(Google Sheets) ชีตลีด</t>
  </si>
  <si>
    <t>Code</t>
  </si>
  <si>
    <t>รหัสลีด — ตัวลีดอยู่ใน Google Sheets ไม่ได้อยู่ในฐานข้อมูลนี้</t>
  </si>
  <si>
    <t>รหัสเคส — 1 แถวอาจมีหลายรหัสคั่นด้วยช่องว่าง</t>
  </si>
  <si>
    <t>(Google Drive)</t>
  </si>
  <si>
    <t>file id</t>
  </si>
  <si>
    <t>ตัวไฟล์รูปอยู่ใน Google Drive</t>
  </si>
  <si>
    <t>รูป/วิดีโอที่แนบตอนเปลี่ยนสเตป</t>
  </si>
  <si>
    <t>View สำเร็จรูป (ตารางเสมือนที่ join ไว้ให้แล้ว)</t>
  </si>
  <si>
    <t>ใช้ได้เหมือนตาราง: SELECT * FROM v_group_chat … · ใครเข้าได้ดูคอลัมน์ 'บัญชีที่อ่านได้'</t>
  </si>
  <si>
    <t>ใช้ทำอะไร</t>
  </si>
  <si>
    <t>บัญชีที่อ่านได้</t>
  </si>
  <si>
    <t>v_employee_line</t>
  </si>
  <si>
    <t>พนักงาน 1 แถว/บัญชี LINE (คนเดียวมีได้หลายบัญชี — บอทเก่า/บอทใหม่)</t>
  </si>
  <si>
    <t>ro_all</t>
  </si>
  <si>
    <t>line_account</t>
  </si>
  <si>
    <t>ตำแหน่งงาน</t>
  </si>
  <si>
    <t>ต้องเช็คชื่อ</t>
  </si>
  <si>
    <t>v_employees</t>
  </si>
  <si>
    <t>พนักงาน 1 แถว/คน พร้อม LINE user id ทุกบัญชี (สร้างไว้ให้ n8n)</t>
  </si>
  <si>
    <t>line_user_ids</t>
  </si>
  <si>
    <t>array</t>
  </si>
  <si>
    <t>v_group_chat</t>
  </si>
  <si>
    <t>แชทกลุ่ม LINE พร้อมชื่อกลุ่ม + ประเภทกลุ่ม · ไม่มี LINE user id (ปลอดภัยกว่าตารางดิบ) — กรองด้วย "ประเภทกลุ่ม"</t>
  </si>
  <si>
    <t>varchar</t>
  </si>
  <si>
    <t>ประเภทกลุ่ม</t>
  </si>
  <si>
    <t>บอทที่ได้ยิน</t>
  </si>
  <si>
    <t>v_line_group</t>
  </si>
  <si>
    <t>สารบัญกลุ่ม LINE — ชื่อ · ประเภทงาน · จำนวนข้อความ · ล่าสุดเมื่อไหร่ · ไม่มีชื่อคน</t>
  </si>
  <si>
    <t>บอทที่อยู่ในกลุ่ม</t>
  </si>
  <si>
    <t>ยังใช้งาน</t>
  </si>
  <si>
    <t>ข้อความที่เก็บไว้</t>
  </si>
  <si>
    <t>บอทได้ยินล่าสุด</t>
  </si>
  <si>
    <t>อยากรู้อะไร → ดูตารางไหน</t>
  </si>
  <si>
    <t>จุดเริ่มต้นสำหรับคำถามที่เจอบ่อย</t>
  </si>
  <si>
    <t>คำถาม</t>
  </si>
  <si>
    <t>ตาราง / view</t>
  </si>
  <si>
    <t>ข้อควรรู้</t>
  </si>
  <si>
    <t>โพสต์/คลิปไหนคนดูเยอะสุด · ยอดรายวันของแต่ละชิ้น</t>
  </si>
  <si>
    <t>มียอดรายวันพร้อมใช้ ไม่ต้องลบ snapshot เอง</t>
  </si>
  <si>
    <t>ยอดทั้งเพจ Facebook รายวัน (ที่ Facebook รายงานเอง)</t>
  </si>
  <si>
    <t>ค่าโฆษณา · ต้นทุนต่อแชท/ต่อลีด</t>
  </si>
  <si>
    <t>dash_ads_daily (รวม) · dash_meta_ad_daily (รายโฆษณา)</t>
  </si>
  <si>
    <t>ต้นทุน = sum(spend) / sum(chats) ห้ามเฉลี่ยค่าเฉลี่ย</t>
  </si>
  <si>
    <t>ผู้ติดตามของแต่ละช่อง TikTok / YouTube</t>
  </si>
  <si>
    <t>dash_tiktok_account_snapshot · dash_youtube_channel_snapshot</t>
  </si>
  <si>
    <t>มีรถอะไรในสต็อก ราคาเท่าไหร่ อยู่สเตปไหน</t>
  </si>
  <si>
    <t>cars_car (+ cars_branch)</t>
  </si>
  <si>
    <t>stage = show คือรถพร้อมขาย</t>
  </si>
  <si>
    <t>รถคันนี้ผ่านมือใครมาบ้าง เมื่อไหร่</t>
  </si>
  <si>
    <t>ใครเบิกรถออกไป คืนหรือยัง</t>
  </si>
  <si>
    <t>checkout_carmovement (+ checkout_movementphoto)</t>
  </si>
  <si>
    <t>returned_at ว่าง = ยังไม่คืน</t>
  </si>
  <si>
    <t>พนักงานมีใคร ตำแหน่งอะไร เข้างานกี่โมง</t>
  </si>
  <si>
    <t>หรือ view v_employees</t>
  </si>
  <si>
    <t>ใครมาสาย มากี่วันในเดือนนี้</t>
  </si>
  <si>
    <t>1 แถว = คน 1 วัน</t>
  </si>
  <si>
    <t>ลูกค้ากำลังหารถอะไร งบเท่าไหร่</t>
  </si>
  <si>
    <t>waiting = true คือยังรอรถที่ตรงสเปก</t>
  </si>
  <si>
    <t>มีกลุ่ม LINE อะไรบ้าง แต่ละกลุ่มทำงานอะไร</t>
  </si>
  <si>
    <t>หรือ view v_line_group</t>
  </si>
  <si>
    <t>แชทของกลุ่มใดกลุ่มหนึ่ง (เช่นห้องโค้ชเซลล์)</t>
  </si>
  <si>
    <t>view v_group_chat</t>
  </si>
  <si>
    <t>กรองด้วยคอลัมน์ "ประเภทกลุ่ม"</t>
  </si>
  <si>
    <t>ลูกค้าคุยอะไรกับเรา</t>
  </si>
  <si>
    <t>checkout_groupchat (LINE) · checkout_fbchat (Facebook)</t>
  </si>
  <si>
    <t>แชทลูกค้าเก็บ 60 วัน</t>
  </si>
  <si>
    <t>เซลล์ตอบลูกค้าเร็วแค่ไหน · ลูกค้าเป็นของเซลล์คนไหน</t>
  </si>
  <si>
    <t>checkout_chatownerlog · checkout_chatowner</t>
  </si>
  <si>
    <t>เริ่มเก็บ 3 ต.ค.69 (หน้า Connect)</t>
  </si>
  <si>
    <t>ผลงานเซลล์รายสัปดาห์ (ลีด/จอง/ปล่อย)</t>
  </si>
  <si>
    <t>ตัวเลขต้นทางอยู่ใน Google Sheets</t>
  </si>
  <si>
    <t>เซลล์โดนทวงงานเรื่องอะไรบ่อย</t>
  </si>
  <si>
    <t>งานส่งข้อความอัตโนมัติล้มไหม เมื่อไหร่</t>
  </si>
  <si>
    <t>kind = 'line_send' and not ok</t>
  </si>
  <si>
    <t>ใครเข้าระบบเมื่อไหร่</t>
  </si>
  <si>
    <t>ข้างในตาราง dash_kv มีอะไร</t>
  </si>
  <si>
    <t>dash_kv เป็นที่เก็บค่าตั้ง/สถานะของระบบ 1 แถวต่อคีย์ (ไม่สะสม) · ไม่ค่อยมีประโยชน์ต่อการวิเคราะห์ ยกเว้นคีย์ main</t>
  </si>
  <si>
    <t>ขนาด (KB)</t>
  </si>
  <si>
    <t>อัปเดตล่าสุด</t>
  </si>
  <si>
    <t>main</t>
  </si>
  <si>
    <t>ผลสรุปแดชบอร์ดที่คำนวณไว้ล่วงหน้า (ก้อนใหญ่สุด)</t>
  </si>
  <si>
    <t>checkout_seen_msgs</t>
  </si>
  <si>
    <t>message id ที่อ่านแล้ว (กันนับซ้ำ)</t>
  </si>
  <si>
    <t>line_oauth:…</t>
  </si>
  <si>
    <t>สถานะชั่วคราวระหว่าง login ด้วย LINE (หมดอายุ 10 นาที)</t>
  </si>
  <si>
    <t>line_groups</t>
  </si>
  <si>
    <t>กลุ่ม LINE ที่บอทรู้จัก (id + ชื่อ)</t>
  </si>
  <si>
    <t>tiktok_oauth:…</t>
  </si>
  <si>
    <t>ลิงก์ขออนุญาตเชื่อมช่อง TikTok (ใช้ได้ครั้งเดียว)</t>
  </si>
  <si>
    <t>checkin_group_member</t>
  </si>
  <si>
    <t>แคชว่าพนักงานคนไหนอยู่ในกลุ่มเช็คชื่อ</t>
  </si>
  <si>
    <t>followup_rounds</t>
  </si>
  <si>
    <t>จำนวนรอบส่งต่อวัน (ตัวหารของ %)</t>
  </si>
  <si>
    <t>meta_sync_last</t>
  </si>
  <si>
    <t>ผลการดึงข้อมูล Facebook รอบล่าสุด</t>
  </si>
  <si>
    <t>tiktok_sync_last</t>
  </si>
  <si>
    <t>ผลการดึงข้อมูล TikTok รอบล่าสุด</t>
  </si>
  <si>
    <t>leadreport_plan</t>
  </si>
  <si>
    <t>แผนรายงานลีด</t>
  </si>
  <si>
    <t>cfg_sellers_config</t>
  </si>
  <si>
    <t>ตั้งค่าเซลล์ (เป้า/ทีม)</t>
  </si>
  <si>
    <t>cfg_schedule_config</t>
  </si>
  <si>
    <t>2026-07-24</t>
  </si>
  <si>
    <t>ตารางเวลาส่งแจ้งเตือน</t>
  </si>
  <si>
    <t>youtube_sync_last</t>
  </si>
  <si>
    <t>ผลการดึงข้อมูล YouTube รอบล่าสุด</t>
  </si>
  <si>
    <t>cardline_last_rpt-card</t>
  </si>
  <si>
    <t>ผลการส่งการ์ด rpt-card เข้า LINE รอบล่าสุด</t>
  </si>
  <si>
    <t>cardline_bought-card</t>
  </si>
  <si>
    <t>2026-09-29</t>
  </si>
  <si>
    <t>ตั้งค่าการส่งการ์ด bought-card เข้า LINE (เวลา/กลุ่ม/ช่วงวันที่)</t>
  </si>
  <si>
    <t>cardline_leadreport-card</t>
  </si>
  <si>
    <t>ตั้งค่าการส่งการ์ด leadreport-card เข้า LINE (เวลา/กลุ่ม/ช่วงวันที่)</t>
  </si>
  <si>
    <t>cardline_leadrecv-card</t>
  </si>
  <si>
    <t>ตั้งค่าการส่งการ์ด leadrecv-card เข้า LINE (เวลา/กลุ่ม/ช่วงวันที่)</t>
  </si>
  <si>
    <t>cardline_leadsummary-card</t>
  </si>
  <si>
    <t>ตั้งค่าการส่งการ์ด leadsummary-card เข้า LINE (เวลา/กลุ่ม/ช่วงวันที่)</t>
  </si>
  <si>
    <t>cardline_rpt-card</t>
  </si>
  <si>
    <t>ตั้งค่าการส่งการ์ด rpt-card เข้า LINE (เวลา/กลุ่ม/ช่วงวันที่)</t>
  </si>
  <si>
    <t>checkin_notify_config</t>
  </si>
  <si>
    <t>ตั้งค่าส่งตารางเช็คชื่อเข้า LINE</t>
  </si>
  <si>
    <t>cardline_last_bought-card</t>
  </si>
  <si>
    <t>ผลการส่งการ์ด bought-card เข้า LINE รอบล่าสุด</t>
  </si>
  <si>
    <t>cardline_yodrot-card</t>
  </si>
  <si>
    <t>ตั้งค่าการส่งการ์ด yodrot-card เข้า LINE (เวลา/กลุ่ม/ช่วงวันที่)</t>
  </si>
  <si>
    <t>cardline_purchase-card</t>
  </si>
  <si>
    <t>ตั้งค่าการส่งการ์ด purchase-card เข้า LINE (เวลา/กลุ่ม/ช่วงวันที่)</t>
  </si>
  <si>
    <t>cardline_mega-card</t>
  </si>
  <si>
    <t>2026-07-25</t>
  </si>
  <si>
    <t>ตั้งค่าการส่งการ์ด mega-card เข้า LINE (เวลา/กลุ่ม/ช่วงวันที่)</t>
  </si>
  <si>
    <t>cardline_alloc-card</t>
  </si>
  <si>
    <t>ตั้งค่าการส่งการ์ด alloc-card เข้า LINE (เวลา/กลุ่ม/ช่วงวันที่)</t>
  </si>
  <si>
    <t>cardline_scorecard-card</t>
  </si>
  <si>
    <t>ตั้งค่าการส่งการ์ด scorecard-card เข้า LINE (เวลา/กลุ่ม/ช่วงวันที่)</t>
  </si>
  <si>
    <t>cardline_last_leadsummary-card</t>
  </si>
  <si>
    <t>ผลการส่งการ์ด leadsummary-card เข้า LINE รอบล่าสุด</t>
  </si>
  <si>
    <t>cardline_last_leadrecv-card</t>
  </si>
  <si>
    <t>ผลการส่งการ์ด leadrecv-card เข้า LINE รอบล่าสุด</t>
  </si>
  <si>
    <t>meta_page_names</t>
  </si>
  <si>
    <t>ชื่อเพจ Facebook</t>
  </si>
  <si>
    <t>checkout_line_config</t>
  </si>
  <si>
    <t>ตั้งค่ากลุ่มที่ดักเก็บข้อมูลเบิก-คืน</t>
  </si>
  <si>
    <t>coach_sync_last</t>
  </si>
  <si>
    <t>ผลการซิงก์ห้องโค้ชรอบล่าสุด</t>
  </si>
  <si>
    <t>cardline_last_alloc-card</t>
  </si>
  <si>
    <t>ผลการส่งการ์ด alloc-card เข้า LINE รอบล่าสุด</t>
  </si>
  <si>
    <t>cardline_last_mega-card</t>
  </si>
  <si>
    <t>ผลการส่งการ์ด mega-card เข้า LINE รอบล่าสุด</t>
  </si>
  <si>
    <t>cardline_last_scorecard-card</t>
  </si>
  <si>
    <t>ผลการส่งการ์ด scorecard-card เข้า LINE รอบล่าสุด</t>
  </si>
  <si>
    <t>line_ingest_last</t>
  </si>
  <si>
    <t>ร่องรอยดีบักของข้อมูลที่ n8n ส่งมา</t>
  </si>
  <si>
    <t>report_line_config</t>
  </si>
  <si>
    <t>ตั้งค่ารายงานเข้าไลน์รายวัน</t>
  </si>
  <si>
    <t>purchase_fetch_last</t>
  </si>
  <si>
    <t>ผลการอ่านชีตจัดซื้อรอบล่าสุด</t>
  </si>
  <si>
    <t>chat_store_last</t>
  </si>
  <si>
    <t>ผลการเก็บแชทครั้งล่าสุด</t>
  </si>
  <si>
    <t>precompute_last</t>
  </si>
  <si>
    <t>ผลการคำนวณล่วงหน้าครั้งล่าสุด</t>
  </si>
  <si>
    <t>line_webhook_last</t>
  </si>
  <si>
    <t>webhook จาก LINE เข้ามาล่าสุดเมื่อไหร่</t>
  </si>
  <si>
    <t>line_profiles</t>
  </si>
  <si>
    <t>แคชชื่อโปรไฟล์ LINE (กันยิง API ซ้ำ)</t>
  </si>
  <si>
    <t>cron_tick</t>
  </si>
  <si>
    <t>heartbeat ของ cron (ทำงานล่าสุดเมื่อไหร่)</t>
  </si>
  <si>
    <t>meta_sync_daily</t>
  </si>
  <si>
    <t>วันนี้ดึง Facebook แล้วหรือยัง</t>
  </si>
  <si>
    <t>youtube_sync_daily</t>
  </si>
  <si>
    <t>วันนี้ดึง YouTube แล้วหรือยัง</t>
  </si>
  <si>
    <t>tiktok_sync_daily</t>
  </si>
  <si>
    <t>วันนี้ดึง TikTok แล้วหรือยัง</t>
  </si>
  <si>
    <t>checkin_notify_last</t>
  </si>
  <si>
    <t>ส่งตารางเช็คชื่อล่าสุดเมื่อไหร่ (กันส่งซ้ำ)</t>
  </si>
  <si>
    <t>chat_cleanup_last</t>
  </si>
  <si>
    <t>ลบแชทหมดอายุล่าสุดเมื่อไหร่</t>
  </si>
  <si>
    <t>cron_followup</t>
  </si>
  <si>
    <t>log การส่งข้อความ “ตามด่วน”</t>
  </si>
  <si>
    <t>eventlog_trim_last</t>
  </si>
  <si>
    <t>ตัดล็อกเหตุการณ์เก่าล่าสุดเมื่อไหร่</t>
  </si>
  <si>
    <t>sheets_fetch_last</t>
  </si>
  <si>
    <t>ผลการดึงชีตครั้งล่าสุด (ใช้เตือนเวลาดึงพลาด)</t>
  </si>
  <si>
    <t>tiktok_sync_lock</t>
  </si>
  <si>
    <t>ล็อกกันดึง TikTok ซ้อน</t>
  </si>
  <si>
    <t>meta_sync_lock</t>
  </si>
  <si>
    <t>ล็อกกันดึง Facebook ซ้อน</t>
  </si>
  <si>
    <t>youtube_sync_lock</t>
  </si>
  <si>
    <t>ล็อกกันดึง YouTube ซ้อน</t>
  </si>
  <si>
    <t>cardline_lock</t>
  </si>
  <si>
    <t>ล็อกกันส่งการ์ดซ้อน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</si>
</sst>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"/>
  </numFmts>
  <fonts count="9" x14ac:knownFonts="1">
    <font>
      <sz val="11"/>
      <color theme="1"/>
      <name val="Tahoma"/>
      <family val="2"/>
      <scheme val="minor"/>
    </font>
    <font>
      <b/>
      <sz val="14"/>
      <color rgb="FF5B21B6"/>
      <name val="Tahoma"/>
    </font>
    <font>
      <i/>
      <sz val="10"/>
      <color rgb="FF6B7280"/>
      <name val="Tahoma"/>
    </font>
    <font>
      <b/>
      <sz val="10"/>
      <color rgb="FFFFFFFF"/>
      <name val="Tahoma"/>
    </font>
    <font>
      <sz val="10"/>
      <name val="Tahoma"/>
    </font>
    <font>
      <b/>
      <sz val="10"/>
      <name val="Consolas"/>
    </font>
    <font>
      <sz val="10"/>
      <name val="Consolas"/>
    </font>
    <font>
      <b/>
      <sz val="10"/>
      <name val="Tahoma"/>
    </font>
    <font>
      <b/>
      <sz val="12"/>
      <color rgb="FF5B21B6"/>
      <name val="Tahoma"/>
    </font>
  </fonts>
  <fills count="7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DCFCE7"/>
      </patternFill>
    </fill>
    <fill>
      <patternFill patternType="solid">
        <fgColor rgb="FFFFEDD5"/>
      </patternFill>
    </fill>
    <fill>
      <patternFill patternType="solid">
        <fgColor rgb="FFF3F4F6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8" fillId="0" borderId="0" xfId="0" applyFont="1"/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/>
    </xf>
    <xf numFmtId="4" fontId="4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right" vertical="top"/>
    </xf>
    <xf numFmtId="3" fontId="7" fillId="0" borderId="1" xfId="0" applyNumberFormat="1" applyFont="1" applyBorder="1" applyAlignment="1">
      <alignment vertical="top"/>
    </xf>
    <xf numFmtId="4" fontId="7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center" vertical="top" wrapText="1"/>
    </xf>
    <xf numFmtId="187" fontId="4" fillId="0" borderId="1" xfId="0" applyNumberFormat="1" applyFont="1" applyBorder="1" applyAlignment="1">
      <alignment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8"/>
  <sheetViews>
    <sheetView showGridLines="0" tabSelected="1" workbookViewId="0"/>
  </sheetViews>
  <sheetFormatPr defaultRowHeight="13.8" x14ac:dyDescent="0.25"/>
  <cols>
    <col min="1" max="1" width="34" customWidth="1"/>
    <col min="2" max="2" width="90" customWidth="1"/>
  </cols>
  <sheetData>
    <row r="1" spans="1:2" ht="17.399999999999999" x14ac:dyDescent="0.3">
      <c r="A1" s="1" t="s">
        <v>0</v>
      </c>
    </row>
    <row r="2" spans="1:2" x14ac:dyDescent="0.25">
      <c r="A2" s="2" t="s">
        <v>1</v>
      </c>
    </row>
    <row r="5" spans="1:2" ht="15" x14ac:dyDescent="0.25">
      <c r="A5" s="3" t="s">
        <v>2</v>
      </c>
    </row>
    <row r="6" spans="1:2" x14ac:dyDescent="0.25">
      <c r="A6" s="4" t="s">
        <v>3</v>
      </c>
      <c r="B6" s="5" t="str">
        <f>COUNTA(ตาราง!C5:C56)&amp;" ตาราง + 4 view"</f>
        <v>52 ตาราง + 4 view</v>
      </c>
    </row>
    <row r="7" spans="1:2" x14ac:dyDescent="0.25">
      <c r="A7" s="4" t="s">
        <v>4</v>
      </c>
      <c r="B7" s="5" t="str">
        <f>TEXT(ตาราง!F57,"#,##0")&amp;" แถว"</f>
        <v>173,032 แถว</v>
      </c>
    </row>
    <row r="8" spans="1:2" x14ac:dyDescent="0.25">
      <c r="A8" s="4" t="s">
        <v>5</v>
      </c>
      <c r="B8" s="5" t="str">
        <f>TEXT(ตาราง!G57,"#,##0.0")&amp;" MB"</f>
        <v>295.4 MB</v>
      </c>
    </row>
    <row r="9" spans="1:2" x14ac:dyDescent="0.25">
      <c r="A9" s="4" t="s">
        <v>6</v>
      </c>
      <c r="B9" s="5" t="str">
        <f>COUNTIF(ตาราง!K5:K56,"มี")&amp;" ตาราง (สีส้ม)"</f>
        <v>23 ตาราง (สีส้ม)</v>
      </c>
    </row>
    <row r="10" spans="1:2" x14ac:dyDescent="0.25">
      <c r="A10" s="4" t="s">
        <v>7</v>
      </c>
      <c r="B10" s="5" t="str">
        <f>COUNTIF(ตาราง!L5:L56,"เห็น")&amp;" ตาราง (สีเขียว)"</f>
        <v>11 ตาราง (สีเขียว)</v>
      </c>
    </row>
    <row r="12" spans="1:2" ht="15" x14ac:dyDescent="0.25">
      <c r="A12" s="3" t="s">
        <v>8</v>
      </c>
    </row>
    <row r="13" spans="1:2" x14ac:dyDescent="0.25">
      <c r="A13" s="4" t="s">
        <v>9</v>
      </c>
      <c r="B13" s="5" t="s">
        <v>10</v>
      </c>
    </row>
    <row r="14" spans="1:2" x14ac:dyDescent="0.25">
      <c r="A14" s="4" t="s">
        <v>11</v>
      </c>
      <c r="B14" s="5" t="s">
        <v>12</v>
      </c>
    </row>
    <row r="15" spans="1:2" x14ac:dyDescent="0.25">
      <c r="A15" s="4" t="s">
        <v>13</v>
      </c>
      <c r="B15" s="5" t="s">
        <v>14</v>
      </c>
    </row>
    <row r="16" spans="1:2" x14ac:dyDescent="0.25">
      <c r="A16" s="4" t="s">
        <v>15</v>
      </c>
      <c r="B16" s="5" t="s">
        <v>16</v>
      </c>
    </row>
    <row r="17" spans="1:2" x14ac:dyDescent="0.25">
      <c r="A17" s="4" t="s">
        <v>17</v>
      </c>
      <c r="B17" s="5" t="s">
        <v>18</v>
      </c>
    </row>
    <row r="18" spans="1:2" x14ac:dyDescent="0.25">
      <c r="A18" s="4" t="s">
        <v>19</v>
      </c>
      <c r="B18" s="5" t="s">
        <v>20</v>
      </c>
    </row>
    <row r="20" spans="1:2" ht="15" x14ac:dyDescent="0.25">
      <c r="A20" s="3" t="s">
        <v>21</v>
      </c>
    </row>
    <row r="21" spans="1:2" x14ac:dyDescent="0.25">
      <c r="A21" s="6" t="s">
        <v>22</v>
      </c>
      <c r="B21" s="7" t="s">
        <v>23</v>
      </c>
    </row>
    <row r="22" spans="1:2" x14ac:dyDescent="0.25">
      <c r="A22" s="8" t="s">
        <v>24</v>
      </c>
      <c r="B22" s="9" t="s">
        <v>25</v>
      </c>
    </row>
    <row r="23" spans="1:2" x14ac:dyDescent="0.25">
      <c r="A23" s="10" t="s">
        <v>26</v>
      </c>
      <c r="B23" s="11" t="s">
        <v>27</v>
      </c>
    </row>
    <row r="24" spans="1:2" x14ac:dyDescent="0.25">
      <c r="A24" s="12" t="s">
        <v>28</v>
      </c>
      <c r="B24" s="13" t="s">
        <v>29</v>
      </c>
    </row>
    <row r="26" spans="1:2" ht="15" x14ac:dyDescent="0.25">
      <c r="A26" s="3" t="s">
        <v>30</v>
      </c>
    </row>
    <row r="27" spans="1:2" ht="26.4" x14ac:dyDescent="0.25">
      <c r="A27" s="4" t="s">
        <v>31</v>
      </c>
      <c r="B27" s="5" t="s">
        <v>32</v>
      </c>
    </row>
    <row r="28" spans="1:2" x14ac:dyDescent="0.25">
      <c r="A28" s="4" t="s">
        <v>33</v>
      </c>
      <c r="B28" s="5" t="s">
        <v>34</v>
      </c>
    </row>
    <row r="29" spans="1:2" x14ac:dyDescent="0.25">
      <c r="A29" s="4" t="s">
        <v>35</v>
      </c>
      <c r="B29" s="5" t="s">
        <v>36</v>
      </c>
    </row>
    <row r="31" spans="1:2" ht="15" x14ac:dyDescent="0.25">
      <c r="A31" s="3" t="s">
        <v>37</v>
      </c>
    </row>
    <row r="32" spans="1:2" ht="26.4" x14ac:dyDescent="0.25">
      <c r="A32" s="4" t="s">
        <v>38</v>
      </c>
      <c r="B32" s="5" t="s">
        <v>39</v>
      </c>
    </row>
    <row r="33" spans="1:2" ht="26.4" x14ac:dyDescent="0.25">
      <c r="A33" s="4" t="s">
        <v>40</v>
      </c>
      <c r="B33" s="5" t="s">
        <v>41</v>
      </c>
    </row>
    <row r="34" spans="1:2" ht="26.4" x14ac:dyDescent="0.25">
      <c r="A34" s="4" t="s">
        <v>42</v>
      </c>
      <c r="B34" s="5" t="s">
        <v>43</v>
      </c>
    </row>
    <row r="35" spans="1:2" x14ac:dyDescent="0.25">
      <c r="A35" s="4" t="s">
        <v>44</v>
      </c>
      <c r="B35" s="5" t="s">
        <v>45</v>
      </c>
    </row>
    <row r="36" spans="1:2" ht="26.4" x14ac:dyDescent="0.25">
      <c r="A36" s="4" t="s">
        <v>46</v>
      </c>
      <c r="B36" s="5" t="s">
        <v>47</v>
      </c>
    </row>
    <row r="37" spans="1:2" ht="26.4" x14ac:dyDescent="0.25">
      <c r="A37" s="4" t="s">
        <v>48</v>
      </c>
      <c r="B37" s="5" t="s">
        <v>49</v>
      </c>
    </row>
    <row r="38" spans="1:2" ht="26.4" x14ac:dyDescent="0.25">
      <c r="A38" s="4" t="s">
        <v>50</v>
      </c>
      <c r="B38" s="5" t="s">
        <v>51</v>
      </c>
    </row>
    <row r="40" spans="1:2" ht="15" x14ac:dyDescent="0.25">
      <c r="A40" s="3" t="s">
        <v>52</v>
      </c>
    </row>
    <row r="41" spans="1:2" x14ac:dyDescent="0.25">
      <c r="A41" s="4" t="s">
        <v>53</v>
      </c>
      <c r="B41" s="5" t="s">
        <v>54</v>
      </c>
    </row>
    <row r="42" spans="1:2" x14ac:dyDescent="0.25">
      <c r="A42" s="4" t="s">
        <v>55</v>
      </c>
      <c r="B42" s="5" t="s">
        <v>56</v>
      </c>
    </row>
    <row r="43" spans="1:2" x14ac:dyDescent="0.25">
      <c r="A43" s="4" t="s">
        <v>57</v>
      </c>
      <c r="B43" s="5" t="s">
        <v>58</v>
      </c>
    </row>
    <row r="44" spans="1:2" x14ac:dyDescent="0.25">
      <c r="A44" s="4" t="s">
        <v>59</v>
      </c>
      <c r="B44" s="5" t="s">
        <v>60</v>
      </c>
    </row>
    <row r="45" spans="1:2" x14ac:dyDescent="0.25">
      <c r="A45" s="4" t="s">
        <v>61</v>
      </c>
      <c r="B45" s="5" t="s">
        <v>62</v>
      </c>
    </row>
    <row r="46" spans="1:2" x14ac:dyDescent="0.25">
      <c r="A46" s="4" t="s">
        <v>63</v>
      </c>
      <c r="B46" s="5" t="s">
        <v>64</v>
      </c>
    </row>
    <row r="47" spans="1:2" x14ac:dyDescent="0.25">
      <c r="A47" s="4" t="s">
        <v>65</v>
      </c>
      <c r="B47" s="5" t="s">
        <v>66</v>
      </c>
    </row>
    <row r="48" spans="1:2" ht="26.4" x14ac:dyDescent="0.25">
      <c r="A48" s="4" t="s">
        <v>67</v>
      </c>
      <c r="B48" s="5" t="s">
        <v>68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7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5" customWidth="1"/>
    <col min="2" max="2" width="18" customWidth="1"/>
    <col min="3" max="4" width="30" customWidth="1"/>
    <col min="5" max="5" width="60" customWidth="1"/>
    <col min="6" max="6" width="11" customWidth="1"/>
    <col min="7" max="7" width="10" customWidth="1"/>
    <col min="8" max="9" width="12" customWidth="1"/>
    <col min="10" max="10" width="14" customWidth="1"/>
    <col min="11" max="12" width="12" customWidth="1"/>
    <col min="13" max="13" width="30" customWidth="1"/>
    <col min="14" max="14" width="10" customWidth="1"/>
    <col min="15" max="15" width="45" customWidth="1"/>
  </cols>
  <sheetData>
    <row r="1" spans="1:15" ht="17.399999999999999" x14ac:dyDescent="0.3">
      <c r="A1" s="1" t="s">
        <v>69</v>
      </c>
    </row>
    <row r="2" spans="1:15" x14ac:dyDescent="0.25">
      <c r="A2" s="2" t="s">
        <v>70</v>
      </c>
    </row>
    <row r="4" spans="1:15" ht="30" customHeight="1" x14ac:dyDescent="0.25">
      <c r="A4" s="14" t="s">
        <v>71</v>
      </c>
      <c r="B4" s="14" t="s">
        <v>72</v>
      </c>
      <c r="C4" s="14" t="s">
        <v>73</v>
      </c>
      <c r="D4" s="14" t="s">
        <v>74</v>
      </c>
      <c r="E4" s="14" t="s">
        <v>75</v>
      </c>
      <c r="F4" s="14" t="s">
        <v>76</v>
      </c>
      <c r="G4" s="14" t="s">
        <v>77</v>
      </c>
      <c r="H4" s="14" t="s">
        <v>78</v>
      </c>
      <c r="I4" s="14" t="s">
        <v>79</v>
      </c>
      <c r="J4" s="14" t="s">
        <v>80</v>
      </c>
      <c r="K4" s="14" t="s">
        <v>81</v>
      </c>
      <c r="L4" s="14" t="s">
        <v>82</v>
      </c>
      <c r="M4" s="14" t="s">
        <v>83</v>
      </c>
      <c r="N4" s="14" t="s">
        <v>84</v>
      </c>
      <c r="O4" s="14" t="s">
        <v>85</v>
      </c>
    </row>
    <row r="5" spans="1:15" ht="39.6" x14ac:dyDescent="0.25">
      <c r="A5" s="15">
        <v>1</v>
      </c>
      <c r="B5" s="5" t="s">
        <v>86</v>
      </c>
      <c r="C5" s="16" t="s">
        <v>87</v>
      </c>
      <c r="D5" s="5" t="s">
        <v>88</v>
      </c>
      <c r="E5" s="5" t="s">
        <v>89</v>
      </c>
      <c r="F5" s="17">
        <v>15</v>
      </c>
      <c r="G5" s="18">
        <v>0.13</v>
      </c>
      <c r="H5" s="15" t="s">
        <v>90</v>
      </c>
      <c r="I5" s="15" t="s">
        <v>91</v>
      </c>
      <c r="J5" s="19" t="s">
        <v>92</v>
      </c>
      <c r="K5" s="15" t="s">
        <v>93</v>
      </c>
      <c r="L5" s="20" t="s">
        <v>94</v>
      </c>
      <c r="M5" s="5" t="s">
        <v>95</v>
      </c>
      <c r="N5" s="15">
        <v>16</v>
      </c>
      <c r="O5" s="5" t="s">
        <v>96</v>
      </c>
    </row>
    <row r="6" spans="1:15" ht="26.4" x14ac:dyDescent="0.25">
      <c r="A6" s="15">
        <v>2</v>
      </c>
      <c r="B6" s="5" t="s">
        <v>86</v>
      </c>
      <c r="C6" s="16" t="s">
        <v>97</v>
      </c>
      <c r="D6" s="5" t="s">
        <v>98</v>
      </c>
      <c r="E6" s="5" t="s">
        <v>99</v>
      </c>
      <c r="F6" s="17">
        <v>1521</v>
      </c>
      <c r="G6" s="18">
        <v>2.88</v>
      </c>
      <c r="H6" s="15" t="s">
        <v>90</v>
      </c>
      <c r="I6" s="15" t="s">
        <v>91</v>
      </c>
      <c r="J6" s="19" t="s">
        <v>92</v>
      </c>
      <c r="K6" s="15" t="s">
        <v>93</v>
      </c>
      <c r="L6" s="20" t="s">
        <v>94</v>
      </c>
      <c r="M6" s="5" t="s">
        <v>100</v>
      </c>
      <c r="N6" s="15">
        <v>22</v>
      </c>
      <c r="O6" s="5"/>
    </row>
    <row r="7" spans="1:15" ht="26.4" x14ac:dyDescent="0.25">
      <c r="A7" s="15">
        <v>3</v>
      </c>
      <c r="B7" s="5" t="s">
        <v>86</v>
      </c>
      <c r="C7" s="16" t="s">
        <v>101</v>
      </c>
      <c r="D7" s="5" t="s">
        <v>102</v>
      </c>
      <c r="E7" s="5" t="s">
        <v>103</v>
      </c>
      <c r="F7" s="17">
        <v>82</v>
      </c>
      <c r="G7" s="18">
        <v>0.12</v>
      </c>
      <c r="H7" s="15" t="s">
        <v>104</v>
      </c>
      <c r="I7" s="15" t="s">
        <v>91</v>
      </c>
      <c r="J7" s="19" t="s">
        <v>92</v>
      </c>
      <c r="K7" s="15" t="s">
        <v>93</v>
      </c>
      <c r="L7" s="20" t="s">
        <v>94</v>
      </c>
      <c r="M7" s="5" t="s">
        <v>100</v>
      </c>
      <c r="N7" s="15">
        <v>9</v>
      </c>
      <c r="O7" s="5"/>
    </row>
    <row r="8" spans="1:15" ht="39.6" x14ac:dyDescent="0.25">
      <c r="A8" s="15">
        <v>4</v>
      </c>
      <c r="B8" s="5" t="s">
        <v>86</v>
      </c>
      <c r="C8" s="16" t="s">
        <v>105</v>
      </c>
      <c r="D8" s="5" t="s">
        <v>106</v>
      </c>
      <c r="E8" s="5" t="s">
        <v>107</v>
      </c>
      <c r="F8" s="17">
        <v>19872</v>
      </c>
      <c r="G8" s="18">
        <v>16.02</v>
      </c>
      <c r="H8" s="15" t="s">
        <v>108</v>
      </c>
      <c r="I8" s="15" t="s">
        <v>91</v>
      </c>
      <c r="J8" s="19" t="s">
        <v>109</v>
      </c>
      <c r="K8" s="15" t="s">
        <v>93</v>
      </c>
      <c r="L8" s="20" t="s">
        <v>94</v>
      </c>
      <c r="M8" s="5" t="s">
        <v>100</v>
      </c>
      <c r="N8" s="15">
        <v>21</v>
      </c>
      <c r="O8" s="5"/>
    </row>
    <row r="9" spans="1:15" ht="26.4" x14ac:dyDescent="0.25">
      <c r="A9" s="15">
        <v>5</v>
      </c>
      <c r="B9" s="5" t="s">
        <v>86</v>
      </c>
      <c r="C9" s="16" t="s">
        <v>110</v>
      </c>
      <c r="D9" s="5" t="s">
        <v>111</v>
      </c>
      <c r="E9" s="5" t="s">
        <v>112</v>
      </c>
      <c r="F9" s="17">
        <v>581</v>
      </c>
      <c r="G9" s="18">
        <v>53.62</v>
      </c>
      <c r="H9" s="15" t="s">
        <v>113</v>
      </c>
      <c r="I9" s="15" t="s">
        <v>114</v>
      </c>
      <c r="J9" s="19" t="s">
        <v>115</v>
      </c>
      <c r="K9" s="15" t="s">
        <v>93</v>
      </c>
      <c r="L9" s="15" t="s">
        <v>93</v>
      </c>
      <c r="M9" s="5" t="s">
        <v>116</v>
      </c>
      <c r="N9" s="15">
        <v>6</v>
      </c>
      <c r="O9" s="5"/>
    </row>
    <row r="10" spans="1:15" ht="39.6" x14ac:dyDescent="0.25">
      <c r="A10" s="15">
        <v>6</v>
      </c>
      <c r="B10" s="5" t="s">
        <v>86</v>
      </c>
      <c r="C10" s="16" t="s">
        <v>117</v>
      </c>
      <c r="D10" s="5" t="s">
        <v>118</v>
      </c>
      <c r="E10" s="5" t="s">
        <v>119</v>
      </c>
      <c r="F10" s="17">
        <v>23364</v>
      </c>
      <c r="G10" s="18">
        <v>23.05</v>
      </c>
      <c r="H10" s="15" t="s">
        <v>113</v>
      </c>
      <c r="I10" s="15" t="s">
        <v>91</v>
      </c>
      <c r="J10" s="19" t="s">
        <v>92</v>
      </c>
      <c r="K10" s="15" t="s">
        <v>93</v>
      </c>
      <c r="L10" s="20" t="s">
        <v>94</v>
      </c>
      <c r="M10" s="5" t="s">
        <v>120</v>
      </c>
      <c r="N10" s="15">
        <v>15</v>
      </c>
      <c r="O10" s="5" t="s">
        <v>121</v>
      </c>
    </row>
    <row r="11" spans="1:15" ht="26.4" x14ac:dyDescent="0.25">
      <c r="A11" s="15">
        <v>7</v>
      </c>
      <c r="B11" s="5" t="s">
        <v>86</v>
      </c>
      <c r="C11" s="16" t="s">
        <v>122</v>
      </c>
      <c r="D11" s="5" t="s">
        <v>123</v>
      </c>
      <c r="E11" s="5" t="s">
        <v>124</v>
      </c>
      <c r="F11" s="17">
        <v>10</v>
      </c>
      <c r="G11" s="18">
        <v>0.14000000000000001</v>
      </c>
      <c r="H11" s="15" t="s">
        <v>113</v>
      </c>
      <c r="I11" s="15" t="s">
        <v>125</v>
      </c>
      <c r="J11" s="19" t="s">
        <v>126</v>
      </c>
      <c r="K11" s="21" t="s">
        <v>127</v>
      </c>
      <c r="L11" s="15" t="s">
        <v>93</v>
      </c>
      <c r="M11" s="5" t="s">
        <v>128</v>
      </c>
      <c r="N11" s="15">
        <v>16</v>
      </c>
      <c r="O11" s="5"/>
    </row>
    <row r="12" spans="1:15" ht="26.4" x14ac:dyDescent="0.25">
      <c r="A12" s="15">
        <v>8</v>
      </c>
      <c r="B12" s="5" t="s">
        <v>86</v>
      </c>
      <c r="C12" s="16" t="s">
        <v>129</v>
      </c>
      <c r="D12" s="5" t="s">
        <v>130</v>
      </c>
      <c r="E12" s="5" t="s">
        <v>131</v>
      </c>
      <c r="F12" s="17">
        <v>105</v>
      </c>
      <c r="G12" s="18">
        <v>0.13</v>
      </c>
      <c r="H12" s="15" t="s">
        <v>132</v>
      </c>
      <c r="I12" s="15" t="s">
        <v>91</v>
      </c>
      <c r="J12" s="19" t="s">
        <v>109</v>
      </c>
      <c r="K12" s="15" t="s">
        <v>93</v>
      </c>
      <c r="L12" s="20" t="s">
        <v>94</v>
      </c>
      <c r="M12" s="5" t="s">
        <v>100</v>
      </c>
      <c r="N12" s="15">
        <v>9</v>
      </c>
      <c r="O12" s="5"/>
    </row>
    <row r="13" spans="1:15" ht="39.6" x14ac:dyDescent="0.25">
      <c r="A13" s="15">
        <v>9</v>
      </c>
      <c r="B13" s="5" t="s">
        <v>86</v>
      </c>
      <c r="C13" s="16" t="s">
        <v>133</v>
      </c>
      <c r="D13" s="5" t="s">
        <v>134</v>
      </c>
      <c r="E13" s="5" t="s">
        <v>135</v>
      </c>
      <c r="F13" s="17">
        <v>0</v>
      </c>
      <c r="G13" s="18">
        <v>0.09</v>
      </c>
      <c r="H13" s="15"/>
      <c r="I13" s="15"/>
      <c r="J13" s="19" t="s">
        <v>136</v>
      </c>
      <c r="K13" s="21" t="s">
        <v>127</v>
      </c>
      <c r="L13" s="15" t="s">
        <v>93</v>
      </c>
      <c r="M13" s="5" t="s">
        <v>137</v>
      </c>
      <c r="N13" s="15">
        <v>10</v>
      </c>
      <c r="O13" s="13" t="s">
        <v>138</v>
      </c>
    </row>
    <row r="14" spans="1:15" x14ac:dyDescent="0.25">
      <c r="A14" s="15">
        <v>10</v>
      </c>
      <c r="B14" s="5" t="s">
        <v>86</v>
      </c>
      <c r="C14" s="16" t="s">
        <v>139</v>
      </c>
      <c r="D14" s="5" t="s">
        <v>140</v>
      </c>
      <c r="E14" s="5" t="s">
        <v>141</v>
      </c>
      <c r="F14" s="17">
        <v>518</v>
      </c>
      <c r="G14" s="18">
        <v>2.12</v>
      </c>
      <c r="H14" s="15" t="s">
        <v>132</v>
      </c>
      <c r="I14" s="15" t="s">
        <v>114</v>
      </c>
      <c r="J14" s="19" t="s">
        <v>115</v>
      </c>
      <c r="K14" s="15" t="s">
        <v>93</v>
      </c>
      <c r="L14" s="15" t="s">
        <v>93</v>
      </c>
      <c r="M14" s="5" t="s">
        <v>116</v>
      </c>
      <c r="N14" s="15">
        <v>6</v>
      </c>
      <c r="O14" s="5"/>
    </row>
    <row r="15" spans="1:15" ht="26.4" x14ac:dyDescent="0.25">
      <c r="A15" s="15">
        <v>11</v>
      </c>
      <c r="B15" s="5" t="s">
        <v>86</v>
      </c>
      <c r="C15" s="16" t="s">
        <v>142</v>
      </c>
      <c r="D15" s="5" t="s">
        <v>143</v>
      </c>
      <c r="E15" s="5" t="s">
        <v>144</v>
      </c>
      <c r="F15" s="17">
        <v>6904</v>
      </c>
      <c r="G15" s="18">
        <v>4.6900000000000004</v>
      </c>
      <c r="H15" s="15" t="s">
        <v>132</v>
      </c>
      <c r="I15" s="15" t="s">
        <v>91</v>
      </c>
      <c r="J15" s="19" t="s">
        <v>109</v>
      </c>
      <c r="K15" s="15" t="s">
        <v>93</v>
      </c>
      <c r="L15" s="20" t="s">
        <v>94</v>
      </c>
      <c r="M15" s="5" t="s">
        <v>100</v>
      </c>
      <c r="N15" s="15">
        <v>14</v>
      </c>
      <c r="O15" s="5"/>
    </row>
    <row r="16" spans="1:15" ht="26.4" x14ac:dyDescent="0.25">
      <c r="A16" s="15">
        <v>12</v>
      </c>
      <c r="B16" s="5" t="s">
        <v>86</v>
      </c>
      <c r="C16" s="16" t="s">
        <v>145</v>
      </c>
      <c r="D16" s="5" t="s">
        <v>146</v>
      </c>
      <c r="E16" s="5" t="s">
        <v>147</v>
      </c>
      <c r="F16" s="17">
        <v>10</v>
      </c>
      <c r="G16" s="18">
        <v>0.1</v>
      </c>
      <c r="H16" s="15" t="s">
        <v>148</v>
      </c>
      <c r="I16" s="15" t="s">
        <v>91</v>
      </c>
      <c r="J16" s="19" t="s">
        <v>109</v>
      </c>
      <c r="K16" s="15" t="s">
        <v>93</v>
      </c>
      <c r="L16" s="20" t="s">
        <v>94</v>
      </c>
      <c r="M16" s="5" t="s">
        <v>100</v>
      </c>
      <c r="N16" s="15">
        <v>10</v>
      </c>
      <c r="O16" s="5"/>
    </row>
    <row r="17" spans="1:15" x14ac:dyDescent="0.25">
      <c r="A17" s="15">
        <v>13</v>
      </c>
      <c r="B17" s="5" t="s">
        <v>86</v>
      </c>
      <c r="C17" s="16" t="s">
        <v>149</v>
      </c>
      <c r="D17" s="5" t="s">
        <v>150</v>
      </c>
      <c r="E17" s="5" t="s">
        <v>151</v>
      </c>
      <c r="F17" s="17">
        <v>130</v>
      </c>
      <c r="G17" s="18">
        <v>2.33</v>
      </c>
      <c r="H17" s="15" t="s">
        <v>125</v>
      </c>
      <c r="I17" s="15" t="s">
        <v>114</v>
      </c>
      <c r="J17" s="19" t="s">
        <v>115</v>
      </c>
      <c r="K17" s="15" t="s">
        <v>93</v>
      </c>
      <c r="L17" s="15" t="s">
        <v>93</v>
      </c>
      <c r="M17" s="5" t="s">
        <v>152</v>
      </c>
      <c r="N17" s="15">
        <v>6</v>
      </c>
      <c r="O17" s="5"/>
    </row>
    <row r="18" spans="1:15" ht="26.4" x14ac:dyDescent="0.25">
      <c r="A18" s="15">
        <v>14</v>
      </c>
      <c r="B18" s="5" t="s">
        <v>86</v>
      </c>
      <c r="C18" s="16" t="s">
        <v>153</v>
      </c>
      <c r="D18" s="5" t="s">
        <v>154</v>
      </c>
      <c r="E18" s="5" t="s">
        <v>155</v>
      </c>
      <c r="F18" s="17">
        <v>2743</v>
      </c>
      <c r="G18" s="18">
        <v>1.17</v>
      </c>
      <c r="H18" s="15" t="s">
        <v>148</v>
      </c>
      <c r="I18" s="15" t="s">
        <v>91</v>
      </c>
      <c r="J18" s="19" t="s">
        <v>109</v>
      </c>
      <c r="K18" s="15" t="s">
        <v>93</v>
      </c>
      <c r="L18" s="20" t="s">
        <v>94</v>
      </c>
      <c r="M18" s="5" t="s">
        <v>100</v>
      </c>
      <c r="N18" s="15">
        <v>13</v>
      </c>
      <c r="O18" s="5"/>
    </row>
    <row r="19" spans="1:15" ht="52.8" x14ac:dyDescent="0.25">
      <c r="A19" s="15">
        <v>15</v>
      </c>
      <c r="B19" s="5" t="s">
        <v>156</v>
      </c>
      <c r="C19" s="16" t="s">
        <v>157</v>
      </c>
      <c r="D19" s="5" t="s">
        <v>158</v>
      </c>
      <c r="E19" s="5" t="s">
        <v>159</v>
      </c>
      <c r="F19" s="17">
        <v>4247</v>
      </c>
      <c r="G19" s="18">
        <v>1.45</v>
      </c>
      <c r="H19" s="15" t="s">
        <v>160</v>
      </c>
      <c r="I19" s="15" t="s">
        <v>114</v>
      </c>
      <c r="J19" s="19" t="s">
        <v>161</v>
      </c>
      <c r="K19" s="21" t="s">
        <v>127</v>
      </c>
      <c r="L19" s="15" t="s">
        <v>93</v>
      </c>
      <c r="M19" s="5" t="s">
        <v>116</v>
      </c>
      <c r="N19" s="15">
        <v>8</v>
      </c>
      <c r="O19" s="5"/>
    </row>
    <row r="20" spans="1:15" x14ac:dyDescent="0.25">
      <c r="A20" s="15">
        <v>16</v>
      </c>
      <c r="B20" s="5" t="s">
        <v>156</v>
      </c>
      <c r="C20" s="16" t="s">
        <v>162</v>
      </c>
      <c r="D20" s="5" t="s">
        <v>163</v>
      </c>
      <c r="E20" s="5" t="s">
        <v>164</v>
      </c>
      <c r="F20" s="17">
        <v>940</v>
      </c>
      <c r="G20" s="18">
        <v>0.23</v>
      </c>
      <c r="H20" s="15" t="s">
        <v>165</v>
      </c>
      <c r="I20" s="15" t="s">
        <v>114</v>
      </c>
      <c r="J20" s="19" t="s">
        <v>92</v>
      </c>
      <c r="K20" s="15" t="s">
        <v>93</v>
      </c>
      <c r="L20" s="15" t="s">
        <v>93</v>
      </c>
      <c r="M20" s="5" t="s">
        <v>100</v>
      </c>
      <c r="N20" s="15">
        <v>13</v>
      </c>
      <c r="O20" s="5"/>
    </row>
    <row r="21" spans="1:15" x14ac:dyDescent="0.25">
      <c r="A21" s="15">
        <v>17</v>
      </c>
      <c r="B21" s="5" t="s">
        <v>156</v>
      </c>
      <c r="C21" s="16" t="s">
        <v>166</v>
      </c>
      <c r="D21" s="5" t="s">
        <v>167</v>
      </c>
      <c r="E21" s="5" t="s">
        <v>168</v>
      </c>
      <c r="F21" s="17">
        <v>0</v>
      </c>
      <c r="G21" s="18">
        <v>0.03</v>
      </c>
      <c r="H21" s="15"/>
      <c r="I21" s="15"/>
      <c r="J21" s="19" t="s">
        <v>169</v>
      </c>
      <c r="K21" s="21" t="s">
        <v>127</v>
      </c>
      <c r="L21" s="15" t="s">
        <v>93</v>
      </c>
      <c r="M21" s="5" t="s">
        <v>100</v>
      </c>
      <c r="N21" s="15">
        <v>4</v>
      </c>
      <c r="O21" s="13" t="s">
        <v>170</v>
      </c>
    </row>
    <row r="22" spans="1:15" ht="26.4" x14ac:dyDescent="0.25">
      <c r="A22" s="15">
        <v>18</v>
      </c>
      <c r="B22" s="5" t="s">
        <v>156</v>
      </c>
      <c r="C22" s="16" t="s">
        <v>171</v>
      </c>
      <c r="D22" s="5" t="s">
        <v>172</v>
      </c>
      <c r="E22" s="5" t="s">
        <v>173</v>
      </c>
      <c r="F22" s="17">
        <v>317</v>
      </c>
      <c r="G22" s="18">
        <v>2.12</v>
      </c>
      <c r="H22" s="15" t="s">
        <v>165</v>
      </c>
      <c r="I22" s="15" t="s">
        <v>114</v>
      </c>
      <c r="J22" s="19" t="s">
        <v>174</v>
      </c>
      <c r="K22" s="21" t="s">
        <v>127</v>
      </c>
      <c r="L22" s="15" t="s">
        <v>93</v>
      </c>
      <c r="M22" s="5" t="s">
        <v>175</v>
      </c>
      <c r="N22" s="15">
        <v>3</v>
      </c>
      <c r="O22" s="5" t="s">
        <v>176</v>
      </c>
    </row>
    <row r="23" spans="1:15" x14ac:dyDescent="0.25">
      <c r="A23" s="15">
        <v>19</v>
      </c>
      <c r="B23" s="5" t="s">
        <v>156</v>
      </c>
      <c r="C23" s="16" t="s">
        <v>177</v>
      </c>
      <c r="D23" s="5" t="s">
        <v>178</v>
      </c>
      <c r="E23" s="5" t="s">
        <v>179</v>
      </c>
      <c r="F23" s="17">
        <v>151</v>
      </c>
      <c r="G23" s="18">
        <v>0.11</v>
      </c>
      <c r="H23" s="15" t="s">
        <v>180</v>
      </c>
      <c r="I23" s="15" t="s">
        <v>181</v>
      </c>
      <c r="J23" s="19" t="s">
        <v>182</v>
      </c>
      <c r="K23" s="15" t="s">
        <v>93</v>
      </c>
      <c r="L23" s="15" t="s">
        <v>93</v>
      </c>
      <c r="M23" s="5" t="s">
        <v>100</v>
      </c>
      <c r="N23" s="15">
        <v>12</v>
      </c>
      <c r="O23" s="5"/>
    </row>
    <row r="24" spans="1:15" x14ac:dyDescent="0.25">
      <c r="A24" s="15">
        <v>20</v>
      </c>
      <c r="B24" s="5" t="s">
        <v>183</v>
      </c>
      <c r="C24" s="16" t="s">
        <v>184</v>
      </c>
      <c r="D24" s="5" t="s">
        <v>185</v>
      </c>
      <c r="E24" s="5" t="s">
        <v>186</v>
      </c>
      <c r="F24" s="17">
        <v>2</v>
      </c>
      <c r="G24" s="18">
        <v>0.05</v>
      </c>
      <c r="H24" s="15" t="s">
        <v>187</v>
      </c>
      <c r="I24" s="15" t="s">
        <v>187</v>
      </c>
      <c r="J24" s="19" t="s">
        <v>169</v>
      </c>
      <c r="K24" s="15" t="s">
        <v>93</v>
      </c>
      <c r="L24" s="20" t="s">
        <v>94</v>
      </c>
      <c r="M24" s="5" t="s">
        <v>100</v>
      </c>
      <c r="N24" s="15">
        <v>5</v>
      </c>
      <c r="O24" s="5"/>
    </row>
    <row r="25" spans="1:15" ht="26.4" x14ac:dyDescent="0.25">
      <c r="A25" s="15">
        <v>21</v>
      </c>
      <c r="B25" s="5" t="s">
        <v>183</v>
      </c>
      <c r="C25" s="16" t="s">
        <v>188</v>
      </c>
      <c r="D25" s="5" t="s">
        <v>189</v>
      </c>
      <c r="E25" s="5" t="s">
        <v>190</v>
      </c>
      <c r="F25" s="17">
        <v>209</v>
      </c>
      <c r="G25" s="18">
        <v>2.3199999999999998</v>
      </c>
      <c r="H25" s="15" t="s">
        <v>191</v>
      </c>
      <c r="I25" s="15" t="s">
        <v>132</v>
      </c>
      <c r="J25" s="19" t="s">
        <v>169</v>
      </c>
      <c r="K25" s="15" t="s">
        <v>93</v>
      </c>
      <c r="L25" s="20" t="s">
        <v>94</v>
      </c>
      <c r="M25" s="5" t="s">
        <v>100</v>
      </c>
      <c r="N25" s="15">
        <v>29</v>
      </c>
      <c r="O25" s="5" t="s">
        <v>192</v>
      </c>
    </row>
    <row r="26" spans="1:15" x14ac:dyDescent="0.25">
      <c r="A26" s="15">
        <v>22</v>
      </c>
      <c r="B26" s="5" t="s">
        <v>183</v>
      </c>
      <c r="C26" s="16" t="s">
        <v>193</v>
      </c>
      <c r="D26" s="5" t="s">
        <v>194</v>
      </c>
      <c r="E26" s="5" t="s">
        <v>195</v>
      </c>
      <c r="F26" s="17">
        <v>6638</v>
      </c>
      <c r="G26" s="18">
        <v>2.25</v>
      </c>
      <c r="H26" s="15" t="s">
        <v>196</v>
      </c>
      <c r="I26" s="15" t="s">
        <v>114</v>
      </c>
      <c r="J26" s="19" t="s">
        <v>169</v>
      </c>
      <c r="K26" s="21" t="s">
        <v>127</v>
      </c>
      <c r="L26" s="15" t="s">
        <v>93</v>
      </c>
      <c r="M26" s="5" t="s">
        <v>100</v>
      </c>
      <c r="N26" s="15">
        <v>10</v>
      </c>
      <c r="O26" s="5"/>
    </row>
    <row r="27" spans="1:15" x14ac:dyDescent="0.25">
      <c r="A27" s="15">
        <v>23</v>
      </c>
      <c r="B27" s="5" t="s">
        <v>183</v>
      </c>
      <c r="C27" s="16" t="s">
        <v>197</v>
      </c>
      <c r="D27" s="5" t="s">
        <v>198</v>
      </c>
      <c r="E27" s="5" t="s">
        <v>199</v>
      </c>
      <c r="F27" s="17">
        <v>23</v>
      </c>
      <c r="G27" s="18">
        <v>0.1</v>
      </c>
      <c r="H27" s="15" t="s">
        <v>200</v>
      </c>
      <c r="I27" s="15" t="s">
        <v>114</v>
      </c>
      <c r="J27" s="19" t="s">
        <v>201</v>
      </c>
      <c r="K27" s="21" t="s">
        <v>127</v>
      </c>
      <c r="L27" s="15" t="s">
        <v>93</v>
      </c>
      <c r="M27" s="5" t="s">
        <v>202</v>
      </c>
      <c r="N27" s="15">
        <v>6</v>
      </c>
      <c r="O27" s="5"/>
    </row>
    <row r="28" spans="1:15" x14ac:dyDescent="0.25">
      <c r="A28" s="15">
        <v>24</v>
      </c>
      <c r="B28" s="5" t="s">
        <v>183</v>
      </c>
      <c r="C28" s="16" t="s">
        <v>203</v>
      </c>
      <c r="D28" s="5" t="s">
        <v>204</v>
      </c>
      <c r="E28" s="5" t="s">
        <v>205</v>
      </c>
      <c r="F28" s="17">
        <v>98</v>
      </c>
      <c r="G28" s="18">
        <v>0.12</v>
      </c>
      <c r="H28" s="15" t="s">
        <v>206</v>
      </c>
      <c r="I28" s="15" t="s">
        <v>132</v>
      </c>
      <c r="J28" s="19" t="s">
        <v>169</v>
      </c>
      <c r="K28" s="21" t="s">
        <v>127</v>
      </c>
      <c r="L28" s="15" t="s">
        <v>93</v>
      </c>
      <c r="M28" s="5" t="s">
        <v>100</v>
      </c>
      <c r="N28" s="15">
        <v>9</v>
      </c>
      <c r="O28" s="5"/>
    </row>
    <row r="29" spans="1:15" ht="26.4" x14ac:dyDescent="0.25">
      <c r="A29" s="15">
        <v>25</v>
      </c>
      <c r="B29" s="5" t="s">
        <v>207</v>
      </c>
      <c r="C29" s="16" t="s">
        <v>208</v>
      </c>
      <c r="D29" s="5" t="s">
        <v>209</v>
      </c>
      <c r="E29" s="5" t="s">
        <v>210</v>
      </c>
      <c r="F29" s="17">
        <v>568</v>
      </c>
      <c r="G29" s="18">
        <v>1.2</v>
      </c>
      <c r="H29" s="15" t="s">
        <v>160</v>
      </c>
      <c r="I29" s="15" t="s">
        <v>114</v>
      </c>
      <c r="J29" s="19" t="s">
        <v>211</v>
      </c>
      <c r="K29" s="21" t="s">
        <v>127</v>
      </c>
      <c r="L29" s="15" t="s">
        <v>93</v>
      </c>
      <c r="M29" s="5" t="s">
        <v>212</v>
      </c>
      <c r="N29" s="15">
        <v>17</v>
      </c>
      <c r="O29" s="5"/>
    </row>
    <row r="30" spans="1:15" ht="39.6" x14ac:dyDescent="0.25">
      <c r="A30" s="15">
        <v>26</v>
      </c>
      <c r="B30" s="5" t="s">
        <v>207</v>
      </c>
      <c r="C30" s="16" t="s">
        <v>213</v>
      </c>
      <c r="D30" s="5" t="s">
        <v>214</v>
      </c>
      <c r="E30" s="5" t="s">
        <v>215</v>
      </c>
      <c r="F30" s="17">
        <v>50</v>
      </c>
      <c r="G30" s="18">
        <v>0.17</v>
      </c>
      <c r="H30" s="15" t="s">
        <v>160</v>
      </c>
      <c r="I30" s="15" t="s">
        <v>114</v>
      </c>
      <c r="J30" s="19" t="s">
        <v>169</v>
      </c>
      <c r="K30" s="21" t="s">
        <v>127</v>
      </c>
      <c r="L30" s="15" t="s">
        <v>93</v>
      </c>
      <c r="M30" s="5" t="s">
        <v>216</v>
      </c>
      <c r="N30" s="15">
        <v>16</v>
      </c>
      <c r="O30" s="5"/>
    </row>
    <row r="31" spans="1:15" ht="26.4" x14ac:dyDescent="0.25">
      <c r="A31" s="15">
        <v>27</v>
      </c>
      <c r="B31" s="5" t="s">
        <v>217</v>
      </c>
      <c r="C31" s="16" t="s">
        <v>218</v>
      </c>
      <c r="D31" s="5" t="s">
        <v>219</v>
      </c>
      <c r="E31" s="5" t="s">
        <v>220</v>
      </c>
      <c r="F31" s="17">
        <v>158</v>
      </c>
      <c r="G31" s="18">
        <v>0.18</v>
      </c>
      <c r="H31" s="15" t="s">
        <v>221</v>
      </c>
      <c r="I31" s="15" t="s">
        <v>114</v>
      </c>
      <c r="J31" s="19" t="s">
        <v>222</v>
      </c>
      <c r="K31" s="21" t="s">
        <v>127</v>
      </c>
      <c r="L31" s="15" t="s">
        <v>93</v>
      </c>
      <c r="M31" s="5" t="s">
        <v>100</v>
      </c>
      <c r="N31" s="15">
        <v>23</v>
      </c>
      <c r="O31" s="5"/>
    </row>
    <row r="32" spans="1:15" x14ac:dyDescent="0.25">
      <c r="A32" s="15">
        <v>28</v>
      </c>
      <c r="B32" s="5" t="s">
        <v>217</v>
      </c>
      <c r="C32" s="16" t="s">
        <v>223</v>
      </c>
      <c r="D32" s="5" t="s">
        <v>224</v>
      </c>
      <c r="E32" s="5" t="s">
        <v>225</v>
      </c>
      <c r="F32" s="17">
        <v>0</v>
      </c>
      <c r="G32" s="18">
        <v>0.02</v>
      </c>
      <c r="H32" s="15"/>
      <c r="I32" s="15"/>
      <c r="J32" s="19" t="s">
        <v>169</v>
      </c>
      <c r="K32" s="15" t="s">
        <v>93</v>
      </c>
      <c r="L32" s="15" t="s">
        <v>93</v>
      </c>
      <c r="M32" s="5" t="s">
        <v>100</v>
      </c>
      <c r="N32" s="15">
        <v>9</v>
      </c>
      <c r="O32" s="13" t="s">
        <v>226</v>
      </c>
    </row>
    <row r="33" spans="1:15" x14ac:dyDescent="0.25">
      <c r="A33" s="15">
        <v>29</v>
      </c>
      <c r="B33" s="5" t="s">
        <v>217</v>
      </c>
      <c r="C33" s="16" t="s">
        <v>227</v>
      </c>
      <c r="D33" s="5" t="s">
        <v>228</v>
      </c>
      <c r="E33" s="5" t="s">
        <v>229</v>
      </c>
      <c r="F33" s="17">
        <v>0</v>
      </c>
      <c r="G33" s="18">
        <v>0.02</v>
      </c>
      <c r="H33" s="15"/>
      <c r="I33" s="15"/>
      <c r="J33" s="19"/>
      <c r="K33" s="15" t="s">
        <v>93</v>
      </c>
      <c r="L33" s="15" t="s">
        <v>93</v>
      </c>
      <c r="M33" s="5" t="s">
        <v>100</v>
      </c>
      <c r="N33" s="15">
        <v>10</v>
      </c>
      <c r="O33" s="13" t="s">
        <v>226</v>
      </c>
    </row>
    <row r="34" spans="1:15" x14ac:dyDescent="0.25">
      <c r="A34" s="15">
        <v>30</v>
      </c>
      <c r="B34" s="5" t="s">
        <v>217</v>
      </c>
      <c r="C34" s="16" t="s">
        <v>230</v>
      </c>
      <c r="D34" s="5" t="s">
        <v>231</v>
      </c>
      <c r="E34" s="5" t="s">
        <v>232</v>
      </c>
      <c r="F34" s="17">
        <v>0</v>
      </c>
      <c r="G34" s="18">
        <v>0.02</v>
      </c>
      <c r="H34" s="15"/>
      <c r="I34" s="15"/>
      <c r="J34" s="19" t="s">
        <v>169</v>
      </c>
      <c r="K34" s="15" t="s">
        <v>93</v>
      </c>
      <c r="L34" s="15" t="s">
        <v>93</v>
      </c>
      <c r="M34" s="5" t="s">
        <v>100</v>
      </c>
      <c r="N34" s="15">
        <v>8</v>
      </c>
      <c r="O34" s="13" t="s">
        <v>233</v>
      </c>
    </row>
    <row r="35" spans="1:15" x14ac:dyDescent="0.25">
      <c r="A35" s="15">
        <v>31</v>
      </c>
      <c r="B35" s="5" t="s">
        <v>217</v>
      </c>
      <c r="C35" s="16" t="s">
        <v>234</v>
      </c>
      <c r="D35" s="5" t="s">
        <v>235</v>
      </c>
      <c r="E35" s="5" t="s">
        <v>236</v>
      </c>
      <c r="F35" s="17">
        <v>154</v>
      </c>
      <c r="G35" s="18">
        <v>0.15</v>
      </c>
      <c r="H35" s="15" t="s">
        <v>237</v>
      </c>
      <c r="I35" s="15" t="s">
        <v>237</v>
      </c>
      <c r="J35" s="19" t="s">
        <v>169</v>
      </c>
      <c r="K35" s="15" t="s">
        <v>93</v>
      </c>
      <c r="L35" s="15" t="s">
        <v>93</v>
      </c>
      <c r="M35" s="5" t="s">
        <v>100</v>
      </c>
      <c r="N35" s="15">
        <v>11</v>
      </c>
      <c r="O35" s="5" t="s">
        <v>238</v>
      </c>
    </row>
    <row r="36" spans="1:15" x14ac:dyDescent="0.25">
      <c r="A36" s="15">
        <v>32</v>
      </c>
      <c r="B36" s="5" t="s">
        <v>217</v>
      </c>
      <c r="C36" s="16" t="s">
        <v>239</v>
      </c>
      <c r="D36" s="5" t="s">
        <v>240</v>
      </c>
      <c r="E36" s="5" t="s">
        <v>241</v>
      </c>
      <c r="F36" s="17">
        <v>0</v>
      </c>
      <c r="G36" s="18">
        <v>0.02</v>
      </c>
      <c r="H36" s="15"/>
      <c r="I36" s="15"/>
      <c r="J36" s="19" t="s">
        <v>169</v>
      </c>
      <c r="K36" s="21" t="s">
        <v>127</v>
      </c>
      <c r="L36" s="15" t="s">
        <v>93</v>
      </c>
      <c r="M36" s="5" t="s">
        <v>100</v>
      </c>
      <c r="N36" s="15">
        <v>7</v>
      </c>
      <c r="O36" s="13" t="s">
        <v>233</v>
      </c>
    </row>
    <row r="37" spans="1:15" ht="39.6" x14ac:dyDescent="0.25">
      <c r="A37" s="15">
        <v>33</v>
      </c>
      <c r="B37" s="5" t="s">
        <v>242</v>
      </c>
      <c r="C37" s="16" t="s">
        <v>243</v>
      </c>
      <c r="D37" s="5" t="s">
        <v>244</v>
      </c>
      <c r="E37" s="5" t="s">
        <v>245</v>
      </c>
      <c r="F37" s="17">
        <v>383</v>
      </c>
      <c r="G37" s="18">
        <v>0.27</v>
      </c>
      <c r="H37" s="15" t="s">
        <v>114</v>
      </c>
      <c r="I37" s="15" t="s">
        <v>114</v>
      </c>
      <c r="J37" s="19" t="s">
        <v>169</v>
      </c>
      <c r="K37" s="21" t="s">
        <v>127</v>
      </c>
      <c r="L37" s="15" t="s">
        <v>93</v>
      </c>
      <c r="M37" s="5" t="s">
        <v>246</v>
      </c>
      <c r="N37" s="15">
        <v>18</v>
      </c>
      <c r="O37" s="5" t="s">
        <v>247</v>
      </c>
    </row>
    <row r="38" spans="1:15" ht="26.4" x14ac:dyDescent="0.25">
      <c r="A38" s="15">
        <v>34</v>
      </c>
      <c r="B38" s="5" t="s">
        <v>242</v>
      </c>
      <c r="C38" s="16" t="s">
        <v>248</v>
      </c>
      <c r="D38" s="5" t="s">
        <v>249</v>
      </c>
      <c r="E38" s="5" t="s">
        <v>250</v>
      </c>
      <c r="F38" s="17">
        <v>0</v>
      </c>
      <c r="G38" s="18">
        <v>0.05</v>
      </c>
      <c r="H38" s="15"/>
      <c r="I38" s="15"/>
      <c r="J38" s="19" t="s">
        <v>161</v>
      </c>
      <c r="K38" s="21" t="s">
        <v>127</v>
      </c>
      <c r="L38" s="15" t="s">
        <v>93</v>
      </c>
      <c r="M38" s="5" t="s">
        <v>251</v>
      </c>
      <c r="N38" s="15">
        <v>11</v>
      </c>
      <c r="O38" s="13" t="s">
        <v>252</v>
      </c>
    </row>
    <row r="39" spans="1:15" ht="52.8" x14ac:dyDescent="0.25">
      <c r="A39" s="15">
        <v>35</v>
      </c>
      <c r="B39" s="5" t="s">
        <v>242</v>
      </c>
      <c r="C39" s="16" t="s">
        <v>253</v>
      </c>
      <c r="D39" s="5" t="s">
        <v>254</v>
      </c>
      <c r="E39" s="5" t="s">
        <v>255</v>
      </c>
      <c r="F39" s="17">
        <v>0</v>
      </c>
      <c r="G39" s="18">
        <v>0.78</v>
      </c>
      <c r="H39" s="15"/>
      <c r="I39" s="15"/>
      <c r="J39" s="19" t="s">
        <v>256</v>
      </c>
      <c r="K39" s="21" t="s">
        <v>127</v>
      </c>
      <c r="L39" s="15" t="s">
        <v>93</v>
      </c>
      <c r="M39" s="5" t="s">
        <v>257</v>
      </c>
      <c r="N39" s="15">
        <v>15</v>
      </c>
      <c r="O39" s="13" t="s">
        <v>258</v>
      </c>
    </row>
    <row r="40" spans="1:15" ht="26.4" x14ac:dyDescent="0.25">
      <c r="A40" s="15">
        <v>36</v>
      </c>
      <c r="B40" s="5" t="s">
        <v>242</v>
      </c>
      <c r="C40" s="16" t="s">
        <v>259</v>
      </c>
      <c r="D40" s="5" t="s">
        <v>260</v>
      </c>
      <c r="E40" s="5" t="s">
        <v>261</v>
      </c>
      <c r="F40" s="17">
        <v>548</v>
      </c>
      <c r="G40" s="18">
        <v>1.38</v>
      </c>
      <c r="H40" s="15" t="s">
        <v>108</v>
      </c>
      <c r="I40" s="15" t="s">
        <v>108</v>
      </c>
      <c r="J40" s="19" t="s">
        <v>169</v>
      </c>
      <c r="K40" s="21" t="s">
        <v>127</v>
      </c>
      <c r="L40" s="15" t="s">
        <v>93</v>
      </c>
      <c r="M40" s="5" t="s">
        <v>262</v>
      </c>
      <c r="N40" s="15">
        <v>26</v>
      </c>
      <c r="O40" s="5"/>
    </row>
    <row r="41" spans="1:15" ht="39.6" x14ac:dyDescent="0.25">
      <c r="A41" s="15">
        <v>37</v>
      </c>
      <c r="B41" s="5" t="s">
        <v>242</v>
      </c>
      <c r="C41" s="16" t="s">
        <v>263</v>
      </c>
      <c r="D41" s="5" t="s">
        <v>264</v>
      </c>
      <c r="E41" s="5" t="s">
        <v>265</v>
      </c>
      <c r="F41" s="17">
        <v>72327</v>
      </c>
      <c r="G41" s="18">
        <v>150.25</v>
      </c>
      <c r="H41" s="15" t="s">
        <v>266</v>
      </c>
      <c r="I41" s="15" t="s">
        <v>91</v>
      </c>
      <c r="J41" s="19" t="s">
        <v>256</v>
      </c>
      <c r="K41" s="21" t="s">
        <v>127</v>
      </c>
      <c r="L41" s="15" t="s">
        <v>93</v>
      </c>
      <c r="M41" s="5" t="s">
        <v>267</v>
      </c>
      <c r="N41" s="15">
        <v>19</v>
      </c>
      <c r="O41" s="5"/>
    </row>
    <row r="42" spans="1:15" ht="39.6" x14ac:dyDescent="0.25">
      <c r="A42" s="15">
        <v>38</v>
      </c>
      <c r="B42" s="5" t="s">
        <v>242</v>
      </c>
      <c r="C42" s="16" t="s">
        <v>268</v>
      </c>
      <c r="D42" s="5" t="s">
        <v>269</v>
      </c>
      <c r="E42" s="5" t="s">
        <v>270</v>
      </c>
      <c r="F42" s="17">
        <v>5626</v>
      </c>
      <c r="G42" s="18">
        <v>7.63</v>
      </c>
      <c r="H42" s="15" t="s">
        <v>271</v>
      </c>
      <c r="I42" s="15" t="s">
        <v>114</v>
      </c>
      <c r="J42" s="19" t="s">
        <v>272</v>
      </c>
      <c r="K42" s="21" t="s">
        <v>127</v>
      </c>
      <c r="L42" s="15" t="s">
        <v>93</v>
      </c>
      <c r="M42" s="5" t="s">
        <v>273</v>
      </c>
      <c r="N42" s="15">
        <v>16</v>
      </c>
      <c r="O42" s="5"/>
    </row>
    <row r="43" spans="1:15" ht="26.4" x14ac:dyDescent="0.25">
      <c r="A43" s="15">
        <v>39</v>
      </c>
      <c r="B43" s="5" t="s">
        <v>242</v>
      </c>
      <c r="C43" s="16" t="s">
        <v>274</v>
      </c>
      <c r="D43" s="5" t="s">
        <v>275</v>
      </c>
      <c r="E43" s="5" t="s">
        <v>276</v>
      </c>
      <c r="F43" s="17">
        <v>23763</v>
      </c>
      <c r="G43" s="18">
        <v>16.55</v>
      </c>
      <c r="H43" s="15" t="s">
        <v>277</v>
      </c>
      <c r="I43" s="15" t="s">
        <v>114</v>
      </c>
      <c r="J43" s="19" t="s">
        <v>256</v>
      </c>
      <c r="K43" s="21" t="s">
        <v>127</v>
      </c>
      <c r="L43" s="15" t="s">
        <v>93</v>
      </c>
      <c r="M43" s="5" t="s">
        <v>278</v>
      </c>
      <c r="N43" s="15">
        <v>22</v>
      </c>
      <c r="O43" s="5"/>
    </row>
    <row r="44" spans="1:15" x14ac:dyDescent="0.25">
      <c r="A44" s="15">
        <v>40</v>
      </c>
      <c r="B44" s="5" t="s">
        <v>242</v>
      </c>
      <c r="C44" s="16" t="s">
        <v>279</v>
      </c>
      <c r="D44" s="5" t="s">
        <v>280</v>
      </c>
      <c r="E44" s="5" t="s">
        <v>281</v>
      </c>
      <c r="F44" s="17">
        <v>0</v>
      </c>
      <c r="G44" s="18">
        <v>0.05</v>
      </c>
      <c r="H44" s="15"/>
      <c r="I44" s="15"/>
      <c r="J44" s="19" t="s">
        <v>169</v>
      </c>
      <c r="K44" s="21" t="s">
        <v>127</v>
      </c>
      <c r="L44" s="15" t="s">
        <v>93</v>
      </c>
      <c r="M44" s="5" t="s">
        <v>100</v>
      </c>
      <c r="N44" s="15">
        <v>10</v>
      </c>
      <c r="O44" s="13" t="s">
        <v>233</v>
      </c>
    </row>
    <row r="45" spans="1:15" ht="39.6" x14ac:dyDescent="0.25">
      <c r="A45" s="15">
        <v>41</v>
      </c>
      <c r="B45" s="5" t="s">
        <v>242</v>
      </c>
      <c r="C45" s="16" t="s">
        <v>282</v>
      </c>
      <c r="D45" s="5" t="s">
        <v>283</v>
      </c>
      <c r="E45" s="5" t="s">
        <v>284</v>
      </c>
      <c r="F45" s="17">
        <v>21</v>
      </c>
      <c r="G45" s="18">
        <v>0.19</v>
      </c>
      <c r="H45" s="15" t="s">
        <v>181</v>
      </c>
      <c r="I45" s="15" t="s">
        <v>181</v>
      </c>
      <c r="J45" s="19" t="s">
        <v>272</v>
      </c>
      <c r="K45" s="15" t="s">
        <v>93</v>
      </c>
      <c r="L45" s="15" t="s">
        <v>93</v>
      </c>
      <c r="M45" s="5" t="s">
        <v>100</v>
      </c>
      <c r="N45" s="15">
        <v>11</v>
      </c>
      <c r="O45" s="5"/>
    </row>
    <row r="46" spans="1:15" ht="26.4" x14ac:dyDescent="0.25">
      <c r="A46" s="15">
        <v>42</v>
      </c>
      <c r="B46" s="5" t="s">
        <v>242</v>
      </c>
      <c r="C46" s="16" t="s">
        <v>285</v>
      </c>
      <c r="D46" s="5" t="s">
        <v>286</v>
      </c>
      <c r="E46" s="5" t="s">
        <v>287</v>
      </c>
      <c r="F46" s="17">
        <v>486</v>
      </c>
      <c r="G46" s="18">
        <v>0.56999999999999995</v>
      </c>
      <c r="H46" s="15" t="s">
        <v>277</v>
      </c>
      <c r="I46" s="15" t="s">
        <v>114</v>
      </c>
      <c r="J46" s="19" t="s">
        <v>272</v>
      </c>
      <c r="K46" s="21" t="s">
        <v>127</v>
      </c>
      <c r="L46" s="15" t="s">
        <v>93</v>
      </c>
      <c r="M46" s="5" t="s">
        <v>288</v>
      </c>
      <c r="N46" s="15">
        <v>17</v>
      </c>
      <c r="O46" s="5"/>
    </row>
    <row r="47" spans="1:15" x14ac:dyDescent="0.25">
      <c r="A47" s="15">
        <v>43</v>
      </c>
      <c r="B47" s="5" t="s">
        <v>289</v>
      </c>
      <c r="C47" s="16" t="s">
        <v>290</v>
      </c>
      <c r="D47" s="5" t="s">
        <v>291</v>
      </c>
      <c r="E47" s="5" t="s">
        <v>292</v>
      </c>
      <c r="F47" s="17">
        <v>10</v>
      </c>
      <c r="G47" s="18">
        <v>0.05</v>
      </c>
      <c r="H47" s="15"/>
      <c r="I47" s="15"/>
      <c r="J47" s="19"/>
      <c r="K47" s="15" t="s">
        <v>93</v>
      </c>
      <c r="L47" s="15" t="s">
        <v>93</v>
      </c>
      <c r="M47" s="5" t="s">
        <v>100</v>
      </c>
      <c r="N47" s="15">
        <v>2</v>
      </c>
      <c r="O47" s="5"/>
    </row>
    <row r="48" spans="1:15" x14ac:dyDescent="0.25">
      <c r="A48" s="15">
        <v>44</v>
      </c>
      <c r="B48" s="5" t="s">
        <v>289</v>
      </c>
      <c r="C48" s="16" t="s">
        <v>293</v>
      </c>
      <c r="D48" s="5" t="s">
        <v>294</v>
      </c>
      <c r="E48" s="5" t="s">
        <v>295</v>
      </c>
      <c r="F48" s="17">
        <v>0</v>
      </c>
      <c r="G48" s="18">
        <v>0.03</v>
      </c>
      <c r="H48" s="15"/>
      <c r="I48" s="15"/>
      <c r="J48" s="19"/>
      <c r="K48" s="15" t="s">
        <v>93</v>
      </c>
      <c r="L48" s="15" t="s">
        <v>93</v>
      </c>
      <c r="M48" s="5" t="s">
        <v>100</v>
      </c>
      <c r="N48" s="15">
        <v>3</v>
      </c>
      <c r="O48" s="13" t="s">
        <v>296</v>
      </c>
    </row>
    <row r="49" spans="1:15" x14ac:dyDescent="0.25">
      <c r="A49" s="15">
        <v>45</v>
      </c>
      <c r="B49" s="5" t="s">
        <v>289</v>
      </c>
      <c r="C49" s="16" t="s">
        <v>297</v>
      </c>
      <c r="D49" s="5" t="s">
        <v>298</v>
      </c>
      <c r="E49" s="5" t="s">
        <v>299</v>
      </c>
      <c r="F49" s="17">
        <v>200</v>
      </c>
      <c r="G49" s="18">
        <v>0.09</v>
      </c>
      <c r="H49" s="15"/>
      <c r="I49" s="15"/>
      <c r="J49" s="19"/>
      <c r="K49" s="15" t="s">
        <v>93</v>
      </c>
      <c r="L49" s="15" t="s">
        <v>93</v>
      </c>
      <c r="M49" s="5" t="s">
        <v>100</v>
      </c>
      <c r="N49" s="15">
        <v>4</v>
      </c>
      <c r="O49" s="5"/>
    </row>
    <row r="50" spans="1:15" ht="26.4" x14ac:dyDescent="0.25">
      <c r="A50" s="15">
        <v>46</v>
      </c>
      <c r="B50" s="5" t="s">
        <v>289</v>
      </c>
      <c r="C50" s="16" t="s">
        <v>300</v>
      </c>
      <c r="D50" s="5" t="s">
        <v>301</v>
      </c>
      <c r="E50" s="5" t="s">
        <v>302</v>
      </c>
      <c r="F50" s="17">
        <v>67</v>
      </c>
      <c r="G50" s="18">
        <v>0.09</v>
      </c>
      <c r="H50" s="15" t="s">
        <v>303</v>
      </c>
      <c r="I50" s="15" t="s">
        <v>148</v>
      </c>
      <c r="J50" s="19" t="s">
        <v>304</v>
      </c>
      <c r="K50" s="21" t="s">
        <v>127</v>
      </c>
      <c r="L50" s="15" t="s">
        <v>93</v>
      </c>
      <c r="M50" s="5" t="s">
        <v>100</v>
      </c>
      <c r="N50" s="15">
        <v>11</v>
      </c>
      <c r="O50" s="5"/>
    </row>
    <row r="51" spans="1:15" x14ac:dyDescent="0.25">
      <c r="A51" s="15">
        <v>47</v>
      </c>
      <c r="B51" s="5" t="s">
        <v>289</v>
      </c>
      <c r="C51" s="16" t="s">
        <v>305</v>
      </c>
      <c r="D51" s="5" t="s">
        <v>306</v>
      </c>
      <c r="E51" s="5" t="s">
        <v>307</v>
      </c>
      <c r="F51" s="17">
        <v>65</v>
      </c>
      <c r="G51" s="18">
        <v>0.1</v>
      </c>
      <c r="H51" s="15"/>
      <c r="I51" s="15"/>
      <c r="J51" s="19"/>
      <c r="K51" s="15" t="s">
        <v>93</v>
      </c>
      <c r="L51" s="15" t="s">
        <v>93</v>
      </c>
      <c r="M51" s="5" t="s">
        <v>100</v>
      </c>
      <c r="N51" s="15">
        <v>3</v>
      </c>
      <c r="O51" s="5"/>
    </row>
    <row r="52" spans="1:15" x14ac:dyDescent="0.25">
      <c r="A52" s="15">
        <v>48</v>
      </c>
      <c r="B52" s="5" t="s">
        <v>289</v>
      </c>
      <c r="C52" s="16" t="s">
        <v>308</v>
      </c>
      <c r="D52" s="5" t="s">
        <v>309</v>
      </c>
      <c r="E52" s="5" t="s">
        <v>295</v>
      </c>
      <c r="F52" s="17">
        <v>0</v>
      </c>
      <c r="G52" s="18">
        <v>0.03</v>
      </c>
      <c r="H52" s="15"/>
      <c r="I52" s="15"/>
      <c r="J52" s="19"/>
      <c r="K52" s="15" t="s">
        <v>93</v>
      </c>
      <c r="L52" s="15" t="s">
        <v>93</v>
      </c>
      <c r="M52" s="5" t="s">
        <v>100</v>
      </c>
      <c r="N52" s="15">
        <v>3</v>
      </c>
      <c r="O52" s="13" t="s">
        <v>296</v>
      </c>
    </row>
    <row r="53" spans="1:15" x14ac:dyDescent="0.25">
      <c r="A53" s="15">
        <v>49</v>
      </c>
      <c r="B53" s="5" t="s">
        <v>289</v>
      </c>
      <c r="C53" s="16" t="s">
        <v>310</v>
      </c>
      <c r="D53" s="5" t="s">
        <v>311</v>
      </c>
      <c r="E53" s="5" t="s">
        <v>312</v>
      </c>
      <c r="F53" s="17">
        <v>0</v>
      </c>
      <c r="G53" s="18">
        <v>0.03</v>
      </c>
      <c r="H53" s="15"/>
      <c r="I53" s="15"/>
      <c r="J53" s="19" t="s">
        <v>313</v>
      </c>
      <c r="K53" s="21" t="s">
        <v>127</v>
      </c>
      <c r="L53" s="15" t="s">
        <v>93</v>
      </c>
      <c r="M53" s="5" t="s">
        <v>100</v>
      </c>
      <c r="N53" s="15">
        <v>8</v>
      </c>
      <c r="O53" s="13" t="s">
        <v>296</v>
      </c>
    </row>
    <row r="54" spans="1:15" x14ac:dyDescent="0.25">
      <c r="A54" s="15">
        <v>50</v>
      </c>
      <c r="B54" s="5" t="s">
        <v>289</v>
      </c>
      <c r="C54" s="16" t="s">
        <v>314</v>
      </c>
      <c r="D54" s="5" t="s">
        <v>315</v>
      </c>
      <c r="E54" s="5" t="s">
        <v>295</v>
      </c>
      <c r="F54" s="17">
        <v>50</v>
      </c>
      <c r="G54" s="18">
        <v>0.04</v>
      </c>
      <c r="H54" s="15"/>
      <c r="I54" s="15"/>
      <c r="J54" s="19"/>
      <c r="K54" s="15" t="s">
        <v>93</v>
      </c>
      <c r="L54" s="15" t="s">
        <v>93</v>
      </c>
      <c r="M54" s="5" t="s">
        <v>100</v>
      </c>
      <c r="N54" s="15">
        <v>3</v>
      </c>
      <c r="O54" s="5"/>
    </row>
    <row r="55" spans="1:15" x14ac:dyDescent="0.25">
      <c r="A55" s="15">
        <v>51</v>
      </c>
      <c r="B55" s="5" t="s">
        <v>289</v>
      </c>
      <c r="C55" s="16" t="s">
        <v>316</v>
      </c>
      <c r="D55" s="5" t="s">
        <v>317</v>
      </c>
      <c r="E55" s="5" t="s">
        <v>318</v>
      </c>
      <c r="F55" s="17">
        <v>76</v>
      </c>
      <c r="G55" s="18">
        <v>0.03</v>
      </c>
      <c r="H55" s="15" t="s">
        <v>319</v>
      </c>
      <c r="I55" s="15" t="s">
        <v>114</v>
      </c>
      <c r="J55" s="19" t="s">
        <v>320</v>
      </c>
      <c r="K55" s="15" t="s">
        <v>93</v>
      </c>
      <c r="L55" s="15" t="s">
        <v>93</v>
      </c>
      <c r="M55" s="5" t="s">
        <v>100</v>
      </c>
      <c r="N55" s="15">
        <v>4</v>
      </c>
      <c r="O55" s="5"/>
    </row>
    <row r="56" spans="1:15" x14ac:dyDescent="0.25">
      <c r="A56" s="15">
        <v>52</v>
      </c>
      <c r="B56" s="5" t="s">
        <v>289</v>
      </c>
      <c r="C56" s="16" t="s">
        <v>321</v>
      </c>
      <c r="D56" s="5" t="s">
        <v>322</v>
      </c>
      <c r="E56" s="5" t="s">
        <v>323</v>
      </c>
      <c r="F56" s="17">
        <v>0</v>
      </c>
      <c r="G56" s="18">
        <v>0.03</v>
      </c>
      <c r="H56" s="15"/>
      <c r="I56" s="15"/>
      <c r="J56" s="19"/>
      <c r="K56" s="15" t="s">
        <v>93</v>
      </c>
      <c r="L56" s="15" t="s">
        <v>93</v>
      </c>
      <c r="M56" s="5" t="s">
        <v>100</v>
      </c>
      <c r="N56" s="15">
        <v>3</v>
      </c>
      <c r="O56" s="13" t="s">
        <v>324</v>
      </c>
    </row>
    <row r="57" spans="1:15" x14ac:dyDescent="0.25">
      <c r="E57" s="22" t="s">
        <v>325</v>
      </c>
      <c r="F57" s="23">
        <f>SUM(F5:F56)</f>
        <v>173032</v>
      </c>
      <c r="G57" s="24">
        <f>SUM(G5:G56)</f>
        <v>295.38999999999987</v>
      </c>
      <c r="N57" s="25">
        <f>SUM(N5:N56)</f>
        <v>582</v>
      </c>
    </row>
  </sheetData>
  <autoFilter ref="A4:O56" xr:uid="{00000000-0009-0000-0000-000001000000}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86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30" customWidth="1"/>
    <col min="2" max="2" width="26" customWidth="1"/>
    <col min="3" max="3" width="7" customWidth="1"/>
    <col min="4" max="4" width="24" customWidth="1"/>
    <col min="5" max="5" width="16" customWidth="1"/>
    <col min="6" max="7" width="48" customWidth="1"/>
    <col min="8" max="8" width="30" customWidth="1"/>
    <col min="9" max="9" width="8" customWidth="1"/>
    <col min="10" max="10" width="22" customWidth="1"/>
  </cols>
  <sheetData>
    <row r="1" spans="1:10" ht="17.399999999999999" x14ac:dyDescent="0.3">
      <c r="A1" s="1" t="s">
        <v>326</v>
      </c>
    </row>
    <row r="2" spans="1:10" x14ac:dyDescent="0.25">
      <c r="A2" s="2" t="s">
        <v>327</v>
      </c>
    </row>
    <row r="4" spans="1:10" ht="30" customHeight="1" x14ac:dyDescent="0.25">
      <c r="A4" s="14" t="s">
        <v>73</v>
      </c>
      <c r="B4" s="14" t="s">
        <v>328</v>
      </c>
      <c r="C4" s="14" t="s">
        <v>329</v>
      </c>
      <c r="D4" s="14" t="s">
        <v>11</v>
      </c>
      <c r="E4" s="14" t="s">
        <v>330</v>
      </c>
      <c r="F4" s="14" t="s">
        <v>331</v>
      </c>
      <c r="G4" s="14" t="s">
        <v>332</v>
      </c>
      <c r="H4" s="14" t="s">
        <v>333</v>
      </c>
      <c r="I4" s="14" t="s">
        <v>334</v>
      </c>
      <c r="J4" s="14" t="s">
        <v>335</v>
      </c>
    </row>
    <row r="5" spans="1:10" x14ac:dyDescent="0.25">
      <c r="A5" s="19" t="s">
        <v>87</v>
      </c>
      <c r="B5" s="5" t="s">
        <v>88</v>
      </c>
      <c r="C5" s="15">
        <v>1</v>
      </c>
      <c r="D5" s="16" t="s">
        <v>336</v>
      </c>
      <c r="E5" s="19" t="s">
        <v>337</v>
      </c>
      <c r="F5" s="5" t="s">
        <v>338</v>
      </c>
      <c r="G5" s="5"/>
      <c r="H5" s="19" t="s">
        <v>339</v>
      </c>
      <c r="I5" s="15" t="s">
        <v>93</v>
      </c>
      <c r="J5" s="5"/>
    </row>
    <row r="6" spans="1:10" x14ac:dyDescent="0.25">
      <c r="A6" s="19" t="s">
        <v>87</v>
      </c>
      <c r="B6" s="5" t="s">
        <v>88</v>
      </c>
      <c r="C6" s="15">
        <v>2</v>
      </c>
      <c r="D6" s="16" t="s">
        <v>92</v>
      </c>
      <c r="E6" s="19" t="s">
        <v>92</v>
      </c>
      <c r="F6" s="5" t="s">
        <v>340</v>
      </c>
      <c r="G6" s="5"/>
      <c r="H6" s="19" t="s">
        <v>341</v>
      </c>
      <c r="I6" s="15" t="s">
        <v>93</v>
      </c>
      <c r="J6" s="5"/>
    </row>
    <row r="7" spans="1:10" x14ac:dyDescent="0.25">
      <c r="A7" s="19" t="s">
        <v>87</v>
      </c>
      <c r="B7" s="5" t="s">
        <v>88</v>
      </c>
      <c r="C7" s="15">
        <v>3</v>
      </c>
      <c r="D7" s="16" t="s">
        <v>342</v>
      </c>
      <c r="E7" s="19" t="s">
        <v>343</v>
      </c>
      <c r="F7" s="5" t="s">
        <v>344</v>
      </c>
      <c r="G7" s="5"/>
      <c r="H7" s="19" t="s">
        <v>341</v>
      </c>
      <c r="I7" s="15" t="s">
        <v>93</v>
      </c>
      <c r="J7" s="5"/>
    </row>
    <row r="8" spans="1:10" x14ac:dyDescent="0.25">
      <c r="A8" s="19" t="s">
        <v>87</v>
      </c>
      <c r="B8" s="5" t="s">
        <v>88</v>
      </c>
      <c r="C8" s="15">
        <v>4</v>
      </c>
      <c r="D8" s="16" t="s">
        <v>345</v>
      </c>
      <c r="E8" s="19" t="s">
        <v>346</v>
      </c>
      <c r="F8" s="5" t="s">
        <v>347</v>
      </c>
      <c r="G8" s="5"/>
      <c r="H8" s="19"/>
      <c r="I8" s="15" t="s">
        <v>93</v>
      </c>
      <c r="J8" s="5"/>
    </row>
    <row r="9" spans="1:10" x14ac:dyDescent="0.25">
      <c r="A9" s="19" t="s">
        <v>87</v>
      </c>
      <c r="B9" s="5" t="s">
        <v>88</v>
      </c>
      <c r="C9" s="15">
        <v>5</v>
      </c>
      <c r="D9" s="16" t="s">
        <v>348</v>
      </c>
      <c r="E9" s="19" t="s">
        <v>337</v>
      </c>
      <c r="F9" s="5" t="s">
        <v>349</v>
      </c>
      <c r="G9" s="5"/>
      <c r="H9" s="19"/>
      <c r="I9" s="15" t="s">
        <v>93</v>
      </c>
      <c r="J9" s="5"/>
    </row>
    <row r="10" spans="1:10" x14ac:dyDescent="0.25">
      <c r="A10" s="19" t="s">
        <v>87</v>
      </c>
      <c r="B10" s="5" t="s">
        <v>88</v>
      </c>
      <c r="C10" s="15">
        <v>6</v>
      </c>
      <c r="D10" s="16" t="s">
        <v>350</v>
      </c>
      <c r="E10" s="19" t="s">
        <v>337</v>
      </c>
      <c r="F10" s="5" t="s">
        <v>351</v>
      </c>
      <c r="G10" s="5"/>
      <c r="H10" s="19"/>
      <c r="I10" s="15" t="s">
        <v>93</v>
      </c>
      <c r="J10" s="5"/>
    </row>
    <row r="11" spans="1:10" x14ac:dyDescent="0.25">
      <c r="A11" s="19" t="s">
        <v>87</v>
      </c>
      <c r="B11" s="5" t="s">
        <v>88</v>
      </c>
      <c r="C11" s="15">
        <v>7</v>
      </c>
      <c r="D11" s="16" t="s">
        <v>352</v>
      </c>
      <c r="E11" s="19" t="s">
        <v>337</v>
      </c>
      <c r="F11" s="5" t="s">
        <v>353</v>
      </c>
      <c r="G11" s="5"/>
      <c r="H11" s="19"/>
      <c r="I11" s="15" t="s">
        <v>93</v>
      </c>
      <c r="J11" s="5"/>
    </row>
    <row r="12" spans="1:10" x14ac:dyDescent="0.25">
      <c r="A12" s="19" t="s">
        <v>87</v>
      </c>
      <c r="B12" s="5" t="s">
        <v>88</v>
      </c>
      <c r="C12" s="15">
        <v>8</v>
      </c>
      <c r="D12" s="16" t="s">
        <v>354</v>
      </c>
      <c r="E12" s="19" t="s">
        <v>337</v>
      </c>
      <c r="F12" s="5" t="s">
        <v>355</v>
      </c>
      <c r="G12" s="5"/>
      <c r="H12" s="19"/>
      <c r="I12" s="15" t="s">
        <v>93</v>
      </c>
      <c r="J12" s="5"/>
    </row>
    <row r="13" spans="1:10" x14ac:dyDescent="0.25">
      <c r="A13" s="19" t="s">
        <v>87</v>
      </c>
      <c r="B13" s="5" t="s">
        <v>88</v>
      </c>
      <c r="C13" s="15">
        <v>9</v>
      </c>
      <c r="D13" s="16" t="s">
        <v>356</v>
      </c>
      <c r="E13" s="19" t="s">
        <v>337</v>
      </c>
      <c r="F13" s="5" t="s">
        <v>357</v>
      </c>
      <c r="G13" s="5"/>
      <c r="H13" s="19"/>
      <c r="I13" s="15" t="s">
        <v>93</v>
      </c>
      <c r="J13" s="5"/>
    </row>
    <row r="14" spans="1:10" x14ac:dyDescent="0.25">
      <c r="A14" s="19" t="s">
        <v>87</v>
      </c>
      <c r="B14" s="5" t="s">
        <v>88</v>
      </c>
      <c r="C14" s="15">
        <v>10</v>
      </c>
      <c r="D14" s="16" t="s">
        <v>358</v>
      </c>
      <c r="E14" s="19" t="s">
        <v>337</v>
      </c>
      <c r="F14" s="5" t="s">
        <v>359</v>
      </c>
      <c r="G14" s="5"/>
      <c r="H14" s="19"/>
      <c r="I14" s="15" t="s">
        <v>93</v>
      </c>
      <c r="J14" s="5"/>
    </row>
    <row r="15" spans="1:10" x14ac:dyDescent="0.25">
      <c r="A15" s="19" t="s">
        <v>87</v>
      </c>
      <c r="B15" s="5" t="s">
        <v>88</v>
      </c>
      <c r="C15" s="15">
        <v>11</v>
      </c>
      <c r="D15" s="16" t="s">
        <v>360</v>
      </c>
      <c r="E15" s="19" t="s">
        <v>337</v>
      </c>
      <c r="F15" s="5" t="s">
        <v>361</v>
      </c>
      <c r="G15" s="5"/>
      <c r="H15" s="19"/>
      <c r="I15" s="15" t="s">
        <v>93</v>
      </c>
      <c r="J15" s="5"/>
    </row>
    <row r="16" spans="1:10" x14ac:dyDescent="0.25">
      <c r="A16" s="19" t="s">
        <v>87</v>
      </c>
      <c r="B16" s="5" t="s">
        <v>88</v>
      </c>
      <c r="C16" s="15">
        <v>12</v>
      </c>
      <c r="D16" s="16" t="s">
        <v>362</v>
      </c>
      <c r="E16" s="19" t="s">
        <v>337</v>
      </c>
      <c r="F16" s="5" t="s">
        <v>363</v>
      </c>
      <c r="G16" s="5"/>
      <c r="H16" s="19"/>
      <c r="I16" s="15" t="s">
        <v>93</v>
      </c>
      <c r="J16" s="5"/>
    </row>
    <row r="17" spans="1:10" x14ac:dyDescent="0.25">
      <c r="A17" s="19" t="s">
        <v>87</v>
      </c>
      <c r="B17" s="5" t="s">
        <v>88</v>
      </c>
      <c r="C17" s="15">
        <v>13</v>
      </c>
      <c r="D17" s="16" t="s">
        <v>364</v>
      </c>
      <c r="E17" s="19" t="s">
        <v>337</v>
      </c>
      <c r="F17" s="5" t="s">
        <v>365</v>
      </c>
      <c r="G17" s="5"/>
      <c r="H17" s="19"/>
      <c r="I17" s="15" t="s">
        <v>93</v>
      </c>
      <c r="J17" s="5"/>
    </row>
    <row r="18" spans="1:10" x14ac:dyDescent="0.25">
      <c r="A18" s="19" t="s">
        <v>87</v>
      </c>
      <c r="B18" s="5" t="s">
        <v>88</v>
      </c>
      <c r="C18" s="15">
        <v>14</v>
      </c>
      <c r="D18" s="16" t="s">
        <v>366</v>
      </c>
      <c r="E18" s="19" t="s">
        <v>367</v>
      </c>
      <c r="F18" s="5" t="s">
        <v>368</v>
      </c>
      <c r="G18" s="5"/>
      <c r="H18" s="19"/>
      <c r="I18" s="15" t="s">
        <v>93</v>
      </c>
      <c r="J18" s="5"/>
    </row>
    <row r="19" spans="1:10" x14ac:dyDescent="0.25">
      <c r="A19" s="19" t="s">
        <v>87</v>
      </c>
      <c r="B19" s="5" t="s">
        <v>88</v>
      </c>
      <c r="C19" s="15">
        <v>15</v>
      </c>
      <c r="D19" s="16" t="s">
        <v>369</v>
      </c>
      <c r="E19" s="19" t="s">
        <v>367</v>
      </c>
      <c r="F19" s="5" t="s">
        <v>370</v>
      </c>
      <c r="G19" s="5"/>
      <c r="H19" s="19"/>
      <c r="I19" s="15" t="s">
        <v>93</v>
      </c>
      <c r="J19" s="5"/>
    </row>
    <row r="20" spans="1:10" x14ac:dyDescent="0.25">
      <c r="A20" s="19" t="s">
        <v>87</v>
      </c>
      <c r="B20" s="5" t="s">
        <v>88</v>
      </c>
      <c r="C20" s="15">
        <v>16</v>
      </c>
      <c r="D20" s="16" t="s">
        <v>174</v>
      </c>
      <c r="E20" s="19" t="s">
        <v>371</v>
      </c>
      <c r="F20" s="5" t="s">
        <v>372</v>
      </c>
      <c r="G20" s="5"/>
      <c r="H20" s="19"/>
      <c r="I20" s="15" t="s">
        <v>93</v>
      </c>
      <c r="J20" s="5"/>
    </row>
    <row r="21" spans="1:10" x14ac:dyDescent="0.25">
      <c r="A21" s="19" t="s">
        <v>97</v>
      </c>
      <c r="B21" s="5" t="s">
        <v>98</v>
      </c>
      <c r="C21" s="15">
        <v>1</v>
      </c>
      <c r="D21" s="16" t="s">
        <v>336</v>
      </c>
      <c r="E21" s="19" t="s">
        <v>337</v>
      </c>
      <c r="F21" s="5" t="s">
        <v>338</v>
      </c>
      <c r="G21" s="5"/>
      <c r="H21" s="19" t="s">
        <v>339</v>
      </c>
      <c r="I21" s="15" t="s">
        <v>93</v>
      </c>
      <c r="J21" s="5"/>
    </row>
    <row r="22" spans="1:10" x14ac:dyDescent="0.25">
      <c r="A22" s="19" t="s">
        <v>97</v>
      </c>
      <c r="B22" s="5" t="s">
        <v>98</v>
      </c>
      <c r="C22" s="15">
        <v>2</v>
      </c>
      <c r="D22" s="16" t="s">
        <v>92</v>
      </c>
      <c r="E22" s="19" t="s">
        <v>92</v>
      </c>
      <c r="F22" s="5" t="s">
        <v>340</v>
      </c>
      <c r="G22" s="5"/>
      <c r="H22" s="19" t="s">
        <v>341</v>
      </c>
      <c r="I22" s="15" t="s">
        <v>93</v>
      </c>
      <c r="J22" s="5"/>
    </row>
    <row r="23" spans="1:10" x14ac:dyDescent="0.25">
      <c r="A23" s="19" t="s">
        <v>97</v>
      </c>
      <c r="B23" s="5" t="s">
        <v>98</v>
      </c>
      <c r="C23" s="15">
        <v>3</v>
      </c>
      <c r="D23" s="16" t="s">
        <v>342</v>
      </c>
      <c r="E23" s="19" t="s">
        <v>343</v>
      </c>
      <c r="F23" s="5" t="s">
        <v>344</v>
      </c>
      <c r="G23" s="5"/>
      <c r="H23" s="19"/>
      <c r="I23" s="15" t="s">
        <v>93</v>
      </c>
      <c r="J23" s="5"/>
    </row>
    <row r="24" spans="1:10" x14ac:dyDescent="0.25">
      <c r="A24" s="19" t="s">
        <v>97</v>
      </c>
      <c r="B24" s="5" t="s">
        <v>98</v>
      </c>
      <c r="C24" s="15">
        <v>4</v>
      </c>
      <c r="D24" s="16" t="s">
        <v>373</v>
      </c>
      <c r="E24" s="19" t="s">
        <v>343</v>
      </c>
      <c r="F24" s="5" t="s">
        <v>374</v>
      </c>
      <c r="G24" s="5"/>
      <c r="H24" s="19"/>
      <c r="I24" s="15" t="s">
        <v>93</v>
      </c>
      <c r="J24" s="5"/>
    </row>
    <row r="25" spans="1:10" x14ac:dyDescent="0.25">
      <c r="A25" s="19" t="s">
        <v>97</v>
      </c>
      <c r="B25" s="5" t="s">
        <v>98</v>
      </c>
      <c r="C25" s="15">
        <v>5</v>
      </c>
      <c r="D25" s="16" t="s">
        <v>375</v>
      </c>
      <c r="E25" s="19" t="s">
        <v>376</v>
      </c>
      <c r="F25" s="5" t="s">
        <v>377</v>
      </c>
      <c r="G25" s="5"/>
      <c r="H25" s="19"/>
      <c r="I25" s="15" t="s">
        <v>93</v>
      </c>
      <c r="J25" s="5"/>
    </row>
    <row r="26" spans="1:10" x14ac:dyDescent="0.25">
      <c r="A26" s="19" t="s">
        <v>97</v>
      </c>
      <c r="B26" s="5" t="s">
        <v>98</v>
      </c>
      <c r="C26" s="15">
        <v>6</v>
      </c>
      <c r="D26" s="16" t="s">
        <v>378</v>
      </c>
      <c r="E26" s="19" t="s">
        <v>343</v>
      </c>
      <c r="F26" s="5" t="s">
        <v>379</v>
      </c>
      <c r="G26" s="5"/>
      <c r="H26" s="19"/>
      <c r="I26" s="15" t="s">
        <v>93</v>
      </c>
      <c r="J26" s="5"/>
    </row>
    <row r="27" spans="1:10" x14ac:dyDescent="0.25">
      <c r="A27" s="19" t="s">
        <v>97</v>
      </c>
      <c r="B27" s="5" t="s">
        <v>98</v>
      </c>
      <c r="C27" s="15">
        <v>7</v>
      </c>
      <c r="D27" s="16" t="s">
        <v>380</v>
      </c>
      <c r="E27" s="19" t="s">
        <v>376</v>
      </c>
      <c r="F27" s="5" t="s">
        <v>381</v>
      </c>
      <c r="G27" s="5"/>
      <c r="H27" s="19"/>
      <c r="I27" s="15" t="s">
        <v>93</v>
      </c>
      <c r="J27" s="5"/>
    </row>
    <row r="28" spans="1:10" x14ac:dyDescent="0.25">
      <c r="A28" s="19" t="s">
        <v>97</v>
      </c>
      <c r="B28" s="5" t="s">
        <v>98</v>
      </c>
      <c r="C28" s="15">
        <v>8</v>
      </c>
      <c r="D28" s="16" t="s">
        <v>382</v>
      </c>
      <c r="E28" s="19" t="s">
        <v>343</v>
      </c>
      <c r="F28" s="5" t="s">
        <v>383</v>
      </c>
      <c r="G28" s="5"/>
      <c r="H28" s="19" t="s">
        <v>341</v>
      </c>
      <c r="I28" s="15" t="s">
        <v>93</v>
      </c>
      <c r="J28" s="5"/>
    </row>
    <row r="29" spans="1:10" x14ac:dyDescent="0.25">
      <c r="A29" s="19" t="s">
        <v>97</v>
      </c>
      <c r="B29" s="5" t="s">
        <v>98</v>
      </c>
      <c r="C29" s="15">
        <v>9</v>
      </c>
      <c r="D29" s="16" t="s">
        <v>384</v>
      </c>
      <c r="E29" s="19" t="s">
        <v>376</v>
      </c>
      <c r="F29" s="5" t="s">
        <v>385</v>
      </c>
      <c r="G29" s="5"/>
      <c r="H29" s="19"/>
      <c r="I29" s="15" t="s">
        <v>93</v>
      </c>
      <c r="J29" s="5"/>
    </row>
    <row r="30" spans="1:10" x14ac:dyDescent="0.25">
      <c r="A30" s="19" t="s">
        <v>97</v>
      </c>
      <c r="B30" s="5" t="s">
        <v>98</v>
      </c>
      <c r="C30" s="15">
        <v>10</v>
      </c>
      <c r="D30" s="16" t="s">
        <v>345</v>
      </c>
      <c r="E30" s="19" t="s">
        <v>346</v>
      </c>
      <c r="F30" s="5" t="s">
        <v>347</v>
      </c>
      <c r="G30" s="5"/>
      <c r="H30" s="19"/>
      <c r="I30" s="15" t="s">
        <v>93</v>
      </c>
      <c r="J30" s="5"/>
    </row>
    <row r="31" spans="1:10" x14ac:dyDescent="0.25">
      <c r="A31" s="19" t="s">
        <v>97</v>
      </c>
      <c r="B31" s="5" t="s">
        <v>98</v>
      </c>
      <c r="C31" s="15">
        <v>11</v>
      </c>
      <c r="D31" s="16" t="s">
        <v>348</v>
      </c>
      <c r="E31" s="19" t="s">
        <v>367</v>
      </c>
      <c r="F31" s="5" t="s">
        <v>349</v>
      </c>
      <c r="G31" s="5"/>
      <c r="H31" s="19"/>
      <c r="I31" s="15" t="s">
        <v>93</v>
      </c>
      <c r="J31" s="5"/>
    </row>
    <row r="32" spans="1:10" x14ac:dyDescent="0.25">
      <c r="A32" s="19" t="s">
        <v>97</v>
      </c>
      <c r="B32" s="5" t="s">
        <v>98</v>
      </c>
      <c r="C32" s="15">
        <v>12</v>
      </c>
      <c r="D32" s="16" t="s">
        <v>350</v>
      </c>
      <c r="E32" s="19" t="s">
        <v>367</v>
      </c>
      <c r="F32" s="5" t="s">
        <v>351</v>
      </c>
      <c r="G32" s="5"/>
      <c r="H32" s="19"/>
      <c r="I32" s="15" t="s">
        <v>93</v>
      </c>
      <c r="J32" s="5"/>
    </row>
    <row r="33" spans="1:10" x14ac:dyDescent="0.25">
      <c r="A33" s="19" t="s">
        <v>97</v>
      </c>
      <c r="B33" s="5" t="s">
        <v>98</v>
      </c>
      <c r="C33" s="15">
        <v>13</v>
      </c>
      <c r="D33" s="16" t="s">
        <v>352</v>
      </c>
      <c r="E33" s="19" t="s">
        <v>367</v>
      </c>
      <c r="F33" s="5" t="s">
        <v>386</v>
      </c>
      <c r="G33" s="5"/>
      <c r="H33" s="19"/>
      <c r="I33" s="15" t="s">
        <v>93</v>
      </c>
      <c r="J33" s="5"/>
    </row>
    <row r="34" spans="1:10" x14ac:dyDescent="0.25">
      <c r="A34" s="19" t="s">
        <v>97</v>
      </c>
      <c r="B34" s="5" t="s">
        <v>98</v>
      </c>
      <c r="C34" s="15">
        <v>14</v>
      </c>
      <c r="D34" s="16" t="s">
        <v>387</v>
      </c>
      <c r="E34" s="19" t="s">
        <v>388</v>
      </c>
      <c r="F34" s="5" t="s">
        <v>389</v>
      </c>
      <c r="G34" s="5"/>
      <c r="H34" s="19"/>
      <c r="I34" s="15" t="s">
        <v>93</v>
      </c>
      <c r="J34" s="5"/>
    </row>
    <row r="35" spans="1:10" x14ac:dyDescent="0.25">
      <c r="A35" s="19" t="s">
        <v>97</v>
      </c>
      <c r="B35" s="5" t="s">
        <v>98</v>
      </c>
      <c r="C35" s="15">
        <v>15</v>
      </c>
      <c r="D35" s="16" t="s">
        <v>390</v>
      </c>
      <c r="E35" s="19" t="s">
        <v>388</v>
      </c>
      <c r="F35" s="5" t="s">
        <v>391</v>
      </c>
      <c r="G35" s="5"/>
      <c r="H35" s="19"/>
      <c r="I35" s="15" t="s">
        <v>93</v>
      </c>
      <c r="J35" s="5"/>
    </row>
    <row r="36" spans="1:10" x14ac:dyDescent="0.25">
      <c r="A36" s="19" t="s">
        <v>97</v>
      </c>
      <c r="B36" s="5" t="s">
        <v>98</v>
      </c>
      <c r="C36" s="15">
        <v>16</v>
      </c>
      <c r="D36" s="16" t="s">
        <v>174</v>
      </c>
      <c r="E36" s="19" t="s">
        <v>371</v>
      </c>
      <c r="F36" s="5" t="s">
        <v>392</v>
      </c>
      <c r="G36" s="5"/>
      <c r="H36" s="19"/>
      <c r="I36" s="15" t="s">
        <v>93</v>
      </c>
      <c r="J36" s="5"/>
    </row>
    <row r="37" spans="1:10" x14ac:dyDescent="0.25">
      <c r="A37" s="19" t="s">
        <v>97</v>
      </c>
      <c r="B37" s="5" t="s">
        <v>98</v>
      </c>
      <c r="C37" s="15">
        <v>17</v>
      </c>
      <c r="D37" s="16" t="s">
        <v>360</v>
      </c>
      <c r="E37" s="19" t="s">
        <v>367</v>
      </c>
      <c r="F37" s="5" t="s">
        <v>393</v>
      </c>
      <c r="G37" s="5"/>
      <c r="H37" s="19"/>
      <c r="I37" s="15" t="s">
        <v>93</v>
      </c>
      <c r="J37" s="5"/>
    </row>
    <row r="38" spans="1:10" x14ac:dyDescent="0.25">
      <c r="A38" s="19" t="s">
        <v>97</v>
      </c>
      <c r="B38" s="5" t="s">
        <v>98</v>
      </c>
      <c r="C38" s="15">
        <v>18</v>
      </c>
      <c r="D38" s="16" t="s">
        <v>362</v>
      </c>
      <c r="E38" s="19" t="s">
        <v>367</v>
      </c>
      <c r="F38" s="5" t="s">
        <v>394</v>
      </c>
      <c r="G38" s="5"/>
      <c r="H38" s="19"/>
      <c r="I38" s="15" t="s">
        <v>93</v>
      </c>
      <c r="J38" s="5"/>
    </row>
    <row r="39" spans="1:10" x14ac:dyDescent="0.25">
      <c r="A39" s="19" t="s">
        <v>97</v>
      </c>
      <c r="B39" s="5" t="s">
        <v>98</v>
      </c>
      <c r="C39" s="15">
        <v>19</v>
      </c>
      <c r="D39" s="16" t="s">
        <v>358</v>
      </c>
      <c r="E39" s="19" t="s">
        <v>367</v>
      </c>
      <c r="F39" s="5" t="s">
        <v>359</v>
      </c>
      <c r="G39" s="5"/>
      <c r="H39" s="19"/>
      <c r="I39" s="15" t="s">
        <v>93</v>
      </c>
      <c r="J39" s="5"/>
    </row>
    <row r="40" spans="1:10" x14ac:dyDescent="0.25">
      <c r="A40" s="19" t="s">
        <v>97</v>
      </c>
      <c r="B40" s="5" t="s">
        <v>98</v>
      </c>
      <c r="C40" s="15">
        <v>20</v>
      </c>
      <c r="D40" s="16" t="s">
        <v>364</v>
      </c>
      <c r="E40" s="19" t="s">
        <v>367</v>
      </c>
      <c r="F40" s="5" t="s">
        <v>365</v>
      </c>
      <c r="G40" s="5"/>
      <c r="H40" s="19"/>
      <c r="I40" s="15" t="s">
        <v>93</v>
      </c>
      <c r="J40" s="5"/>
    </row>
    <row r="41" spans="1:10" x14ac:dyDescent="0.25">
      <c r="A41" s="19" t="s">
        <v>97</v>
      </c>
      <c r="B41" s="5" t="s">
        <v>98</v>
      </c>
      <c r="C41" s="15">
        <v>21</v>
      </c>
      <c r="D41" s="16" t="s">
        <v>354</v>
      </c>
      <c r="E41" s="19" t="s">
        <v>367</v>
      </c>
      <c r="F41" s="5" t="s">
        <v>355</v>
      </c>
      <c r="G41" s="5"/>
      <c r="H41" s="19"/>
      <c r="I41" s="15" t="s">
        <v>93</v>
      </c>
      <c r="J41" s="5"/>
    </row>
    <row r="42" spans="1:10" x14ac:dyDescent="0.25">
      <c r="A42" s="19" t="s">
        <v>97</v>
      </c>
      <c r="B42" s="5" t="s">
        <v>98</v>
      </c>
      <c r="C42" s="15">
        <v>22</v>
      </c>
      <c r="D42" s="16" t="s">
        <v>356</v>
      </c>
      <c r="E42" s="19" t="s">
        <v>367</v>
      </c>
      <c r="F42" s="5" t="s">
        <v>357</v>
      </c>
      <c r="G42" s="5"/>
      <c r="H42" s="19"/>
      <c r="I42" s="15" t="s">
        <v>93</v>
      </c>
      <c r="J42" s="5"/>
    </row>
    <row r="43" spans="1:10" ht="26.4" x14ac:dyDescent="0.25">
      <c r="A43" s="19" t="s">
        <v>101</v>
      </c>
      <c r="B43" s="5" t="s">
        <v>102</v>
      </c>
      <c r="C43" s="15">
        <v>1</v>
      </c>
      <c r="D43" s="16" t="s">
        <v>336</v>
      </c>
      <c r="E43" s="19" t="s">
        <v>337</v>
      </c>
      <c r="F43" s="5" t="s">
        <v>338</v>
      </c>
      <c r="G43" s="5"/>
      <c r="H43" s="19" t="s">
        <v>339</v>
      </c>
      <c r="I43" s="15" t="s">
        <v>93</v>
      </c>
      <c r="J43" s="5"/>
    </row>
    <row r="44" spans="1:10" ht="26.4" x14ac:dyDescent="0.25">
      <c r="A44" s="19" t="s">
        <v>101</v>
      </c>
      <c r="B44" s="5" t="s">
        <v>102</v>
      </c>
      <c r="C44" s="15">
        <v>2</v>
      </c>
      <c r="D44" s="16" t="s">
        <v>395</v>
      </c>
      <c r="E44" s="19" t="s">
        <v>343</v>
      </c>
      <c r="F44" s="5" t="s">
        <v>396</v>
      </c>
      <c r="G44" s="5"/>
      <c r="H44" s="19" t="s">
        <v>341</v>
      </c>
      <c r="I44" s="15" t="s">
        <v>93</v>
      </c>
      <c r="J44" s="5"/>
    </row>
    <row r="45" spans="1:10" ht="26.4" x14ac:dyDescent="0.25">
      <c r="A45" s="19" t="s">
        <v>101</v>
      </c>
      <c r="B45" s="5" t="s">
        <v>102</v>
      </c>
      <c r="C45" s="15">
        <v>3</v>
      </c>
      <c r="D45" s="16" t="s">
        <v>92</v>
      </c>
      <c r="E45" s="19" t="s">
        <v>92</v>
      </c>
      <c r="F45" s="5" t="s">
        <v>340</v>
      </c>
      <c r="G45" s="5"/>
      <c r="H45" s="19" t="s">
        <v>341</v>
      </c>
      <c r="I45" s="15" t="s">
        <v>93</v>
      </c>
      <c r="J45" s="5"/>
    </row>
    <row r="46" spans="1:10" ht="26.4" x14ac:dyDescent="0.25">
      <c r="A46" s="19" t="s">
        <v>101</v>
      </c>
      <c r="B46" s="5" t="s">
        <v>102</v>
      </c>
      <c r="C46" s="15">
        <v>4</v>
      </c>
      <c r="D46" s="16" t="s">
        <v>356</v>
      </c>
      <c r="E46" s="19" t="s">
        <v>337</v>
      </c>
      <c r="F46" s="5" t="s">
        <v>397</v>
      </c>
      <c r="G46" s="5"/>
      <c r="H46" s="19"/>
      <c r="I46" s="15" t="s">
        <v>93</v>
      </c>
      <c r="J46" s="5"/>
    </row>
    <row r="47" spans="1:10" ht="26.4" x14ac:dyDescent="0.25">
      <c r="A47" s="19" t="s">
        <v>101</v>
      </c>
      <c r="B47" s="5" t="s">
        <v>102</v>
      </c>
      <c r="C47" s="15">
        <v>5</v>
      </c>
      <c r="D47" s="16" t="s">
        <v>398</v>
      </c>
      <c r="E47" s="19" t="s">
        <v>337</v>
      </c>
      <c r="F47" s="5" t="s">
        <v>359</v>
      </c>
      <c r="G47" s="5"/>
      <c r="H47" s="19"/>
      <c r="I47" s="15" t="s">
        <v>93</v>
      </c>
      <c r="J47" s="5"/>
    </row>
    <row r="48" spans="1:10" ht="26.4" x14ac:dyDescent="0.25">
      <c r="A48" s="19" t="s">
        <v>101</v>
      </c>
      <c r="B48" s="5" t="s">
        <v>102</v>
      </c>
      <c r="C48" s="15">
        <v>6</v>
      </c>
      <c r="D48" s="16" t="s">
        <v>399</v>
      </c>
      <c r="E48" s="19" t="s">
        <v>337</v>
      </c>
      <c r="F48" s="5" t="s">
        <v>400</v>
      </c>
      <c r="G48" s="5"/>
      <c r="H48" s="19"/>
      <c r="I48" s="15" t="s">
        <v>93</v>
      </c>
      <c r="J48" s="5"/>
    </row>
    <row r="49" spans="1:10" ht="26.4" x14ac:dyDescent="0.25">
      <c r="A49" s="19" t="s">
        <v>101</v>
      </c>
      <c r="B49" s="5" t="s">
        <v>102</v>
      </c>
      <c r="C49" s="15">
        <v>7</v>
      </c>
      <c r="D49" s="16" t="s">
        <v>401</v>
      </c>
      <c r="E49" s="19" t="s">
        <v>337</v>
      </c>
      <c r="F49" s="5" t="s">
        <v>402</v>
      </c>
      <c r="G49" s="5"/>
      <c r="H49" s="19"/>
      <c r="I49" s="15" t="s">
        <v>93</v>
      </c>
      <c r="J49" s="5"/>
    </row>
    <row r="50" spans="1:10" ht="26.4" x14ac:dyDescent="0.25">
      <c r="A50" s="19" t="s">
        <v>101</v>
      </c>
      <c r="B50" s="5" t="s">
        <v>102</v>
      </c>
      <c r="C50" s="15">
        <v>8</v>
      </c>
      <c r="D50" s="16" t="s">
        <v>403</v>
      </c>
      <c r="E50" s="19" t="s">
        <v>337</v>
      </c>
      <c r="F50" s="5" t="s">
        <v>404</v>
      </c>
      <c r="G50" s="5"/>
      <c r="H50" s="19"/>
      <c r="I50" s="15" t="s">
        <v>93</v>
      </c>
      <c r="J50" s="5"/>
    </row>
    <row r="51" spans="1:10" ht="26.4" x14ac:dyDescent="0.25">
      <c r="A51" s="19" t="s">
        <v>101</v>
      </c>
      <c r="B51" s="5" t="s">
        <v>102</v>
      </c>
      <c r="C51" s="15">
        <v>9</v>
      </c>
      <c r="D51" s="16" t="s">
        <v>174</v>
      </c>
      <c r="E51" s="19" t="s">
        <v>371</v>
      </c>
      <c r="F51" s="5" t="s">
        <v>392</v>
      </c>
      <c r="G51" s="5"/>
      <c r="H51" s="19"/>
      <c r="I51" s="15" t="s">
        <v>93</v>
      </c>
      <c r="J51" s="5"/>
    </row>
    <row r="52" spans="1:10" x14ac:dyDescent="0.25">
      <c r="A52" s="19" t="s">
        <v>105</v>
      </c>
      <c r="B52" s="5" t="s">
        <v>106</v>
      </c>
      <c r="C52" s="15">
        <v>1</v>
      </c>
      <c r="D52" s="16" t="s">
        <v>336</v>
      </c>
      <c r="E52" s="19" t="s">
        <v>337</v>
      </c>
      <c r="F52" s="5" t="s">
        <v>338</v>
      </c>
      <c r="G52" s="5"/>
      <c r="H52" s="19" t="s">
        <v>339</v>
      </c>
      <c r="I52" s="15" t="s">
        <v>93</v>
      </c>
      <c r="J52" s="5"/>
    </row>
    <row r="53" spans="1:10" x14ac:dyDescent="0.25">
      <c r="A53" s="19" t="s">
        <v>105</v>
      </c>
      <c r="B53" s="5" t="s">
        <v>106</v>
      </c>
      <c r="C53" s="15">
        <v>2</v>
      </c>
      <c r="D53" s="16" t="s">
        <v>405</v>
      </c>
      <c r="E53" s="19" t="s">
        <v>371</v>
      </c>
      <c r="F53" s="5" t="s">
        <v>406</v>
      </c>
      <c r="G53" s="5"/>
      <c r="H53" s="19"/>
      <c r="I53" s="15" t="s">
        <v>93</v>
      </c>
      <c r="J53" s="5"/>
    </row>
    <row r="54" spans="1:10" x14ac:dyDescent="0.25">
      <c r="A54" s="19" t="s">
        <v>105</v>
      </c>
      <c r="B54" s="5" t="s">
        <v>106</v>
      </c>
      <c r="C54" s="15">
        <v>3</v>
      </c>
      <c r="D54" s="16" t="s">
        <v>109</v>
      </c>
      <c r="E54" s="19" t="s">
        <v>92</v>
      </c>
      <c r="F54" s="5" t="s">
        <v>407</v>
      </c>
      <c r="G54" s="5"/>
      <c r="H54" s="19"/>
      <c r="I54" s="15" t="s">
        <v>93</v>
      </c>
      <c r="J54" s="5"/>
    </row>
    <row r="55" spans="1:10" ht="26.4" x14ac:dyDescent="0.25">
      <c r="A55" s="19" t="s">
        <v>105</v>
      </c>
      <c r="B55" s="5" t="s">
        <v>106</v>
      </c>
      <c r="C55" s="15">
        <v>4</v>
      </c>
      <c r="D55" s="16" t="s">
        <v>408</v>
      </c>
      <c r="E55" s="19" t="s">
        <v>409</v>
      </c>
      <c r="F55" s="5" t="s">
        <v>410</v>
      </c>
      <c r="G55" s="5"/>
      <c r="H55" s="19"/>
      <c r="I55" s="15" t="s">
        <v>93</v>
      </c>
      <c r="J55" s="5"/>
    </row>
    <row r="56" spans="1:10" x14ac:dyDescent="0.25">
      <c r="A56" s="19" t="s">
        <v>105</v>
      </c>
      <c r="B56" s="5" t="s">
        <v>106</v>
      </c>
      <c r="C56" s="15">
        <v>5</v>
      </c>
      <c r="D56" s="16" t="s">
        <v>395</v>
      </c>
      <c r="E56" s="19" t="s">
        <v>343</v>
      </c>
      <c r="F56" s="5" t="s">
        <v>396</v>
      </c>
      <c r="G56" s="5"/>
      <c r="H56" s="19"/>
      <c r="I56" s="15" t="s">
        <v>93</v>
      </c>
      <c r="J56" s="5"/>
    </row>
    <row r="57" spans="1:10" x14ac:dyDescent="0.25">
      <c r="A57" s="19" t="s">
        <v>105</v>
      </c>
      <c r="B57" s="5" t="s">
        <v>106</v>
      </c>
      <c r="C57" s="15">
        <v>6</v>
      </c>
      <c r="D57" s="16" t="s">
        <v>411</v>
      </c>
      <c r="E57" s="19" t="s">
        <v>412</v>
      </c>
      <c r="F57" s="5" t="s">
        <v>413</v>
      </c>
      <c r="G57" s="5"/>
      <c r="H57" s="19"/>
      <c r="I57" s="15" t="s">
        <v>93</v>
      </c>
      <c r="J57" s="5"/>
    </row>
    <row r="58" spans="1:10" x14ac:dyDescent="0.25">
      <c r="A58" s="19" t="s">
        <v>105</v>
      </c>
      <c r="B58" s="5" t="s">
        <v>106</v>
      </c>
      <c r="C58" s="15">
        <v>7</v>
      </c>
      <c r="D58" s="16" t="s">
        <v>414</v>
      </c>
      <c r="E58" s="19" t="s">
        <v>343</v>
      </c>
      <c r="F58" s="5" t="s">
        <v>415</v>
      </c>
      <c r="G58" s="5"/>
      <c r="H58" s="19"/>
      <c r="I58" s="15" t="s">
        <v>93</v>
      </c>
      <c r="J58" s="5"/>
    </row>
    <row r="59" spans="1:10" x14ac:dyDescent="0.25">
      <c r="A59" s="19" t="s">
        <v>105</v>
      </c>
      <c r="B59" s="5" t="s">
        <v>106</v>
      </c>
      <c r="C59" s="15">
        <v>8</v>
      </c>
      <c r="D59" s="16" t="s">
        <v>416</v>
      </c>
      <c r="E59" s="19" t="s">
        <v>371</v>
      </c>
      <c r="F59" s="5" t="s">
        <v>417</v>
      </c>
      <c r="G59" s="5"/>
      <c r="H59" s="19"/>
      <c r="I59" s="15" t="s">
        <v>418</v>
      </c>
      <c r="J59" s="5"/>
    </row>
    <row r="60" spans="1:10" x14ac:dyDescent="0.25">
      <c r="A60" s="19" t="s">
        <v>105</v>
      </c>
      <c r="B60" s="5" t="s">
        <v>106</v>
      </c>
      <c r="C60" s="15">
        <v>9</v>
      </c>
      <c r="D60" s="16" t="s">
        <v>419</v>
      </c>
      <c r="E60" s="19" t="s">
        <v>376</v>
      </c>
      <c r="F60" s="5" t="s">
        <v>420</v>
      </c>
      <c r="G60" s="5"/>
      <c r="H60" s="19"/>
      <c r="I60" s="15" t="s">
        <v>93</v>
      </c>
      <c r="J60" s="5"/>
    </row>
    <row r="61" spans="1:10" x14ac:dyDescent="0.25">
      <c r="A61" s="19" t="s">
        <v>105</v>
      </c>
      <c r="B61" s="5" t="s">
        <v>106</v>
      </c>
      <c r="C61" s="15">
        <v>10</v>
      </c>
      <c r="D61" s="16" t="s">
        <v>421</v>
      </c>
      <c r="E61" s="19" t="s">
        <v>422</v>
      </c>
      <c r="F61" s="5" t="s">
        <v>423</v>
      </c>
      <c r="G61" s="5"/>
      <c r="H61" s="19"/>
      <c r="I61" s="15" t="s">
        <v>93</v>
      </c>
      <c r="J61" s="5"/>
    </row>
    <row r="62" spans="1:10" x14ac:dyDescent="0.25">
      <c r="A62" s="19" t="s">
        <v>105</v>
      </c>
      <c r="B62" s="5" t="s">
        <v>106</v>
      </c>
      <c r="C62" s="15">
        <v>11</v>
      </c>
      <c r="D62" s="16" t="s">
        <v>424</v>
      </c>
      <c r="E62" s="19" t="s">
        <v>367</v>
      </c>
      <c r="F62" s="5" t="s">
        <v>425</v>
      </c>
      <c r="G62" s="5"/>
      <c r="H62" s="19"/>
      <c r="I62" s="15" t="s">
        <v>93</v>
      </c>
      <c r="J62" s="5"/>
    </row>
    <row r="63" spans="1:10" x14ac:dyDescent="0.25">
      <c r="A63" s="19" t="s">
        <v>105</v>
      </c>
      <c r="B63" s="5" t="s">
        <v>106</v>
      </c>
      <c r="C63" s="15">
        <v>12</v>
      </c>
      <c r="D63" s="16" t="s">
        <v>426</v>
      </c>
      <c r="E63" s="19" t="s">
        <v>388</v>
      </c>
      <c r="F63" s="5" t="s">
        <v>427</v>
      </c>
      <c r="G63" s="5"/>
      <c r="H63" s="19"/>
      <c r="I63" s="15" t="s">
        <v>93</v>
      </c>
      <c r="J63" s="5"/>
    </row>
    <row r="64" spans="1:10" x14ac:dyDescent="0.25">
      <c r="A64" s="19" t="s">
        <v>105</v>
      </c>
      <c r="B64" s="5" t="s">
        <v>106</v>
      </c>
      <c r="C64" s="15">
        <v>13</v>
      </c>
      <c r="D64" s="16" t="s">
        <v>428</v>
      </c>
      <c r="E64" s="19" t="s">
        <v>367</v>
      </c>
      <c r="F64" s="5" t="s">
        <v>429</v>
      </c>
      <c r="G64" s="5"/>
      <c r="H64" s="19"/>
      <c r="I64" s="15" t="s">
        <v>93</v>
      </c>
      <c r="J64" s="5"/>
    </row>
    <row r="65" spans="1:10" x14ac:dyDescent="0.25">
      <c r="A65" s="19" t="s">
        <v>105</v>
      </c>
      <c r="B65" s="5" t="s">
        <v>106</v>
      </c>
      <c r="C65" s="15">
        <v>14</v>
      </c>
      <c r="D65" s="16" t="s">
        <v>430</v>
      </c>
      <c r="E65" s="19" t="s">
        <v>367</v>
      </c>
      <c r="F65" s="5" t="s">
        <v>431</v>
      </c>
      <c r="G65" s="5"/>
      <c r="H65" s="19"/>
      <c r="I65" s="15" t="s">
        <v>93</v>
      </c>
      <c r="J65" s="5"/>
    </row>
    <row r="66" spans="1:10" x14ac:dyDescent="0.25">
      <c r="A66" s="19" t="s">
        <v>105</v>
      </c>
      <c r="B66" s="5" t="s">
        <v>106</v>
      </c>
      <c r="C66" s="15">
        <v>15</v>
      </c>
      <c r="D66" s="16" t="s">
        <v>352</v>
      </c>
      <c r="E66" s="19" t="s">
        <v>367</v>
      </c>
      <c r="F66" s="5" t="s">
        <v>386</v>
      </c>
      <c r="G66" s="5"/>
      <c r="H66" s="19"/>
      <c r="I66" s="15" t="s">
        <v>93</v>
      </c>
      <c r="J66" s="5"/>
    </row>
    <row r="67" spans="1:10" x14ac:dyDescent="0.25">
      <c r="A67" s="19" t="s">
        <v>105</v>
      </c>
      <c r="B67" s="5" t="s">
        <v>106</v>
      </c>
      <c r="C67" s="15">
        <v>16</v>
      </c>
      <c r="D67" s="16" t="s">
        <v>356</v>
      </c>
      <c r="E67" s="19" t="s">
        <v>367</v>
      </c>
      <c r="F67" s="5" t="s">
        <v>432</v>
      </c>
      <c r="G67" s="5"/>
      <c r="H67" s="19"/>
      <c r="I67" s="15" t="s">
        <v>93</v>
      </c>
      <c r="J67" s="5"/>
    </row>
    <row r="68" spans="1:10" x14ac:dyDescent="0.25">
      <c r="A68" s="19" t="s">
        <v>105</v>
      </c>
      <c r="B68" s="5" t="s">
        <v>106</v>
      </c>
      <c r="C68" s="15">
        <v>17</v>
      </c>
      <c r="D68" s="16" t="s">
        <v>433</v>
      </c>
      <c r="E68" s="19" t="s">
        <v>367</v>
      </c>
      <c r="F68" s="5" t="s">
        <v>434</v>
      </c>
      <c r="G68" s="5"/>
      <c r="H68" s="19"/>
      <c r="I68" s="15" t="s">
        <v>93</v>
      </c>
      <c r="J68" s="5"/>
    </row>
    <row r="69" spans="1:10" x14ac:dyDescent="0.25">
      <c r="A69" s="19" t="s">
        <v>105</v>
      </c>
      <c r="B69" s="5" t="s">
        <v>106</v>
      </c>
      <c r="C69" s="15">
        <v>18</v>
      </c>
      <c r="D69" s="16" t="s">
        <v>435</v>
      </c>
      <c r="E69" s="19" t="s">
        <v>367</v>
      </c>
      <c r="F69" s="5" t="s">
        <v>436</v>
      </c>
      <c r="G69" s="5"/>
      <c r="H69" s="19"/>
      <c r="I69" s="15" t="s">
        <v>93</v>
      </c>
      <c r="J69" s="5"/>
    </row>
    <row r="70" spans="1:10" x14ac:dyDescent="0.25">
      <c r="A70" s="19" t="s">
        <v>105</v>
      </c>
      <c r="B70" s="5" t="s">
        <v>106</v>
      </c>
      <c r="C70" s="15">
        <v>19</v>
      </c>
      <c r="D70" s="16" t="s">
        <v>437</v>
      </c>
      <c r="E70" s="19" t="s">
        <v>367</v>
      </c>
      <c r="F70" s="5" t="s">
        <v>438</v>
      </c>
      <c r="G70" s="5"/>
      <c r="H70" s="19"/>
      <c r="I70" s="15" t="s">
        <v>93</v>
      </c>
      <c r="J70" s="5"/>
    </row>
    <row r="71" spans="1:10" x14ac:dyDescent="0.25">
      <c r="A71" s="19" t="s">
        <v>105</v>
      </c>
      <c r="B71" s="5" t="s">
        <v>106</v>
      </c>
      <c r="C71" s="15">
        <v>20</v>
      </c>
      <c r="D71" s="16" t="s">
        <v>439</v>
      </c>
      <c r="E71" s="19" t="s">
        <v>367</v>
      </c>
      <c r="F71" s="5" t="s">
        <v>440</v>
      </c>
      <c r="G71" s="5"/>
      <c r="H71" s="19"/>
      <c r="I71" s="15" t="s">
        <v>93</v>
      </c>
      <c r="J71" s="5"/>
    </row>
    <row r="72" spans="1:10" x14ac:dyDescent="0.25">
      <c r="A72" s="19" t="s">
        <v>105</v>
      </c>
      <c r="B72" s="5" t="s">
        <v>106</v>
      </c>
      <c r="C72" s="15">
        <v>21</v>
      </c>
      <c r="D72" s="16" t="s">
        <v>441</v>
      </c>
      <c r="E72" s="19" t="s">
        <v>337</v>
      </c>
      <c r="F72" s="5" t="s">
        <v>442</v>
      </c>
      <c r="G72" s="5"/>
      <c r="H72" s="19"/>
      <c r="I72" s="15" t="s">
        <v>93</v>
      </c>
      <c r="J72" s="5"/>
    </row>
    <row r="73" spans="1:10" x14ac:dyDescent="0.25">
      <c r="A73" s="19" t="s">
        <v>110</v>
      </c>
      <c r="B73" s="5" t="s">
        <v>111</v>
      </c>
      <c r="C73" s="15">
        <v>1</v>
      </c>
      <c r="D73" s="16" t="s">
        <v>336</v>
      </c>
      <c r="E73" s="19" t="s">
        <v>337</v>
      </c>
      <c r="F73" s="5" t="s">
        <v>338</v>
      </c>
      <c r="G73" s="5"/>
      <c r="H73" s="19" t="s">
        <v>339</v>
      </c>
      <c r="I73" s="15" t="s">
        <v>93</v>
      </c>
      <c r="J73" s="5"/>
    </row>
    <row r="74" spans="1:10" x14ac:dyDescent="0.25">
      <c r="A74" s="19" t="s">
        <v>110</v>
      </c>
      <c r="B74" s="5" t="s">
        <v>111</v>
      </c>
      <c r="C74" s="15">
        <v>2</v>
      </c>
      <c r="D74" s="16" t="s">
        <v>115</v>
      </c>
      <c r="E74" s="19" t="s">
        <v>371</v>
      </c>
      <c r="F74" s="5" t="s">
        <v>406</v>
      </c>
      <c r="G74" s="5"/>
      <c r="H74" s="19"/>
      <c r="I74" s="15" t="s">
        <v>93</v>
      </c>
      <c r="J74" s="5"/>
    </row>
    <row r="75" spans="1:10" x14ac:dyDescent="0.25">
      <c r="A75" s="19" t="s">
        <v>110</v>
      </c>
      <c r="B75" s="5" t="s">
        <v>111</v>
      </c>
      <c r="C75" s="15">
        <v>3</v>
      </c>
      <c r="D75" s="16" t="s">
        <v>443</v>
      </c>
      <c r="E75" s="19" t="s">
        <v>444</v>
      </c>
      <c r="F75" s="5" t="s">
        <v>415</v>
      </c>
      <c r="G75" s="5"/>
      <c r="H75" s="19"/>
      <c r="I75" s="15" t="s">
        <v>93</v>
      </c>
      <c r="J75" s="5"/>
    </row>
    <row r="76" spans="1:10" x14ac:dyDescent="0.25">
      <c r="A76" s="19" t="s">
        <v>110</v>
      </c>
      <c r="B76" s="5" t="s">
        <v>111</v>
      </c>
      <c r="C76" s="15">
        <v>4</v>
      </c>
      <c r="D76" s="16" t="s">
        <v>445</v>
      </c>
      <c r="E76" s="19" t="s">
        <v>446</v>
      </c>
      <c r="F76" s="5" t="s">
        <v>447</v>
      </c>
      <c r="G76" s="5"/>
      <c r="H76" s="19"/>
      <c r="I76" s="15" t="s">
        <v>93</v>
      </c>
      <c r="J76" s="5"/>
    </row>
    <row r="77" spans="1:10" ht="26.4" x14ac:dyDescent="0.25">
      <c r="A77" s="19" t="s">
        <v>110</v>
      </c>
      <c r="B77" s="5" t="s">
        <v>111</v>
      </c>
      <c r="C77" s="15">
        <v>5</v>
      </c>
      <c r="D77" s="16" t="s">
        <v>408</v>
      </c>
      <c r="E77" s="19" t="s">
        <v>409</v>
      </c>
      <c r="F77" s="5" t="s">
        <v>410</v>
      </c>
      <c r="G77" s="5"/>
      <c r="H77" s="19"/>
      <c r="I77" s="15" t="s">
        <v>93</v>
      </c>
      <c r="J77" s="5"/>
    </row>
    <row r="78" spans="1:10" x14ac:dyDescent="0.25">
      <c r="A78" s="19" t="s">
        <v>110</v>
      </c>
      <c r="B78" s="5" t="s">
        <v>111</v>
      </c>
      <c r="C78" s="15">
        <v>6</v>
      </c>
      <c r="D78" s="16" t="s">
        <v>448</v>
      </c>
      <c r="E78" s="19" t="s">
        <v>388</v>
      </c>
      <c r="F78" s="5" t="s">
        <v>449</v>
      </c>
      <c r="G78" s="5"/>
      <c r="H78" s="19"/>
      <c r="I78" s="15" t="s">
        <v>93</v>
      </c>
      <c r="J78" s="5"/>
    </row>
    <row r="79" spans="1:10" ht="26.4" x14ac:dyDescent="0.25">
      <c r="A79" s="19" t="s">
        <v>117</v>
      </c>
      <c r="B79" s="5" t="s">
        <v>118</v>
      </c>
      <c r="C79" s="15">
        <v>1</v>
      </c>
      <c r="D79" s="16" t="s">
        <v>336</v>
      </c>
      <c r="E79" s="19" t="s">
        <v>337</v>
      </c>
      <c r="F79" s="5" t="s">
        <v>338</v>
      </c>
      <c r="G79" s="5"/>
      <c r="H79" s="19" t="s">
        <v>339</v>
      </c>
      <c r="I79" s="15" t="s">
        <v>93</v>
      </c>
      <c r="J79" s="5"/>
    </row>
    <row r="80" spans="1:10" ht="26.4" x14ac:dyDescent="0.25">
      <c r="A80" s="19" t="s">
        <v>117</v>
      </c>
      <c r="B80" s="5" t="s">
        <v>118</v>
      </c>
      <c r="C80" s="15">
        <v>2</v>
      </c>
      <c r="D80" s="16" t="s">
        <v>92</v>
      </c>
      <c r="E80" s="19" t="s">
        <v>92</v>
      </c>
      <c r="F80" s="5" t="s">
        <v>450</v>
      </c>
      <c r="G80" s="5"/>
      <c r="H80" s="19" t="s">
        <v>341</v>
      </c>
      <c r="I80" s="15" t="s">
        <v>93</v>
      </c>
      <c r="J80" s="5"/>
    </row>
    <row r="81" spans="1:10" ht="26.4" x14ac:dyDescent="0.25">
      <c r="A81" s="19" t="s">
        <v>117</v>
      </c>
      <c r="B81" s="5" t="s">
        <v>118</v>
      </c>
      <c r="C81" s="15">
        <v>3</v>
      </c>
      <c r="D81" s="16" t="s">
        <v>451</v>
      </c>
      <c r="E81" s="19" t="s">
        <v>409</v>
      </c>
      <c r="F81" s="5" t="s">
        <v>452</v>
      </c>
      <c r="G81" s="5"/>
      <c r="H81" s="19" t="s">
        <v>341</v>
      </c>
      <c r="I81" s="15" t="s">
        <v>93</v>
      </c>
      <c r="J81" s="5"/>
    </row>
    <row r="82" spans="1:10" ht="26.4" x14ac:dyDescent="0.25">
      <c r="A82" s="19" t="s">
        <v>117</v>
      </c>
      <c r="B82" s="5" t="s">
        <v>118</v>
      </c>
      <c r="C82" s="15">
        <v>4</v>
      </c>
      <c r="D82" s="16" t="s">
        <v>453</v>
      </c>
      <c r="E82" s="19" t="s">
        <v>412</v>
      </c>
      <c r="F82" s="5" t="s">
        <v>454</v>
      </c>
      <c r="G82" s="5"/>
      <c r="H82" s="19" t="s">
        <v>341</v>
      </c>
      <c r="I82" s="15" t="s">
        <v>93</v>
      </c>
      <c r="J82" s="5"/>
    </row>
    <row r="83" spans="1:10" ht="26.4" x14ac:dyDescent="0.25">
      <c r="A83" s="19" t="s">
        <v>117</v>
      </c>
      <c r="B83" s="5" t="s">
        <v>118</v>
      </c>
      <c r="C83" s="15">
        <v>5</v>
      </c>
      <c r="D83" s="16" t="s">
        <v>455</v>
      </c>
      <c r="E83" s="19" t="s">
        <v>456</v>
      </c>
      <c r="F83" s="5" t="s">
        <v>457</v>
      </c>
      <c r="G83" s="5"/>
      <c r="H83" s="19"/>
      <c r="I83" s="15" t="s">
        <v>93</v>
      </c>
      <c r="J83" s="5"/>
    </row>
    <row r="84" spans="1:10" ht="26.4" x14ac:dyDescent="0.25">
      <c r="A84" s="19" t="s">
        <v>117</v>
      </c>
      <c r="B84" s="5" t="s">
        <v>118</v>
      </c>
      <c r="C84" s="15">
        <v>6</v>
      </c>
      <c r="D84" s="16" t="s">
        <v>458</v>
      </c>
      <c r="E84" s="19" t="s">
        <v>422</v>
      </c>
      <c r="F84" s="5" t="s">
        <v>459</v>
      </c>
      <c r="G84" s="5"/>
      <c r="H84" s="19"/>
      <c r="I84" s="15" t="s">
        <v>93</v>
      </c>
      <c r="J84" s="5"/>
    </row>
    <row r="85" spans="1:10" ht="26.4" x14ac:dyDescent="0.25">
      <c r="A85" s="19" t="s">
        <v>117</v>
      </c>
      <c r="B85" s="5" t="s">
        <v>118</v>
      </c>
      <c r="C85" s="15">
        <v>7</v>
      </c>
      <c r="D85" s="16" t="s">
        <v>460</v>
      </c>
      <c r="E85" s="19" t="s">
        <v>337</v>
      </c>
      <c r="F85" s="5" t="s">
        <v>461</v>
      </c>
      <c r="G85" s="5"/>
      <c r="H85" s="19"/>
      <c r="I85" s="15" t="s">
        <v>93</v>
      </c>
      <c r="J85" s="5"/>
    </row>
    <row r="86" spans="1:10" ht="26.4" x14ac:dyDescent="0.25">
      <c r="A86" s="19" t="s">
        <v>117</v>
      </c>
      <c r="B86" s="5" t="s">
        <v>118</v>
      </c>
      <c r="C86" s="15">
        <v>8</v>
      </c>
      <c r="D86" s="16" t="s">
        <v>403</v>
      </c>
      <c r="E86" s="19" t="s">
        <v>337</v>
      </c>
      <c r="F86" s="5" t="s">
        <v>462</v>
      </c>
      <c r="G86" s="5"/>
      <c r="H86" s="19"/>
      <c r="I86" s="15" t="s">
        <v>93</v>
      </c>
      <c r="J86" s="5"/>
    </row>
    <row r="87" spans="1:10" ht="26.4" x14ac:dyDescent="0.25">
      <c r="A87" s="19" t="s">
        <v>117</v>
      </c>
      <c r="B87" s="5" t="s">
        <v>118</v>
      </c>
      <c r="C87" s="15">
        <v>9</v>
      </c>
      <c r="D87" s="16" t="s">
        <v>428</v>
      </c>
      <c r="E87" s="19" t="s">
        <v>337</v>
      </c>
      <c r="F87" s="5" t="s">
        <v>463</v>
      </c>
      <c r="G87" s="5"/>
      <c r="H87" s="19"/>
      <c r="I87" s="15" t="s">
        <v>93</v>
      </c>
      <c r="J87" s="5"/>
    </row>
    <row r="88" spans="1:10" ht="26.4" x14ac:dyDescent="0.25">
      <c r="A88" s="19" t="s">
        <v>117</v>
      </c>
      <c r="B88" s="5" t="s">
        <v>118</v>
      </c>
      <c r="C88" s="15">
        <v>10</v>
      </c>
      <c r="D88" s="16" t="s">
        <v>430</v>
      </c>
      <c r="E88" s="19" t="s">
        <v>337</v>
      </c>
      <c r="F88" s="5" t="s">
        <v>464</v>
      </c>
      <c r="G88" s="5"/>
      <c r="H88" s="19"/>
      <c r="I88" s="15" t="s">
        <v>93</v>
      </c>
      <c r="J88" s="5"/>
    </row>
    <row r="89" spans="1:10" ht="26.4" x14ac:dyDescent="0.25">
      <c r="A89" s="19" t="s">
        <v>117</v>
      </c>
      <c r="B89" s="5" t="s">
        <v>118</v>
      </c>
      <c r="C89" s="15">
        <v>11</v>
      </c>
      <c r="D89" s="16" t="s">
        <v>465</v>
      </c>
      <c r="E89" s="19" t="s">
        <v>337</v>
      </c>
      <c r="F89" s="5" t="s">
        <v>466</v>
      </c>
      <c r="G89" s="5"/>
      <c r="H89" s="19"/>
      <c r="I89" s="15" t="s">
        <v>93</v>
      </c>
      <c r="J89" s="5"/>
    </row>
    <row r="90" spans="1:10" ht="26.4" x14ac:dyDescent="0.25">
      <c r="A90" s="19" t="s">
        <v>117</v>
      </c>
      <c r="B90" s="5" t="s">
        <v>118</v>
      </c>
      <c r="C90" s="15">
        <v>12</v>
      </c>
      <c r="D90" s="16" t="s">
        <v>467</v>
      </c>
      <c r="E90" s="19" t="s">
        <v>337</v>
      </c>
      <c r="F90" s="5" t="s">
        <v>468</v>
      </c>
      <c r="G90" s="5"/>
      <c r="H90" s="19"/>
      <c r="I90" s="15" t="s">
        <v>93</v>
      </c>
      <c r="J90" s="5"/>
    </row>
    <row r="91" spans="1:10" ht="26.4" x14ac:dyDescent="0.25">
      <c r="A91" s="19" t="s">
        <v>117</v>
      </c>
      <c r="B91" s="5" t="s">
        <v>118</v>
      </c>
      <c r="C91" s="15">
        <v>13</v>
      </c>
      <c r="D91" s="16" t="s">
        <v>469</v>
      </c>
      <c r="E91" s="19" t="s">
        <v>337</v>
      </c>
      <c r="F91" s="5" t="s">
        <v>470</v>
      </c>
      <c r="G91" s="5"/>
      <c r="H91" s="19"/>
      <c r="I91" s="15" t="s">
        <v>93</v>
      </c>
      <c r="J91" s="5"/>
    </row>
    <row r="92" spans="1:10" ht="26.4" x14ac:dyDescent="0.25">
      <c r="A92" s="19" t="s">
        <v>117</v>
      </c>
      <c r="B92" s="5" t="s">
        <v>118</v>
      </c>
      <c r="C92" s="15">
        <v>14</v>
      </c>
      <c r="D92" s="16" t="s">
        <v>471</v>
      </c>
      <c r="E92" s="19" t="s">
        <v>337</v>
      </c>
      <c r="F92" s="5" t="s">
        <v>472</v>
      </c>
      <c r="G92" s="5"/>
      <c r="H92" s="19"/>
      <c r="I92" s="15" t="s">
        <v>93</v>
      </c>
      <c r="J92" s="5"/>
    </row>
    <row r="93" spans="1:10" ht="26.4" x14ac:dyDescent="0.25">
      <c r="A93" s="19" t="s">
        <v>117</v>
      </c>
      <c r="B93" s="5" t="s">
        <v>118</v>
      </c>
      <c r="C93" s="15">
        <v>15</v>
      </c>
      <c r="D93" s="16" t="s">
        <v>174</v>
      </c>
      <c r="E93" s="19" t="s">
        <v>371</v>
      </c>
      <c r="F93" s="5" t="s">
        <v>372</v>
      </c>
      <c r="G93" s="5"/>
      <c r="H93" s="19"/>
      <c r="I93" s="15" t="s">
        <v>93</v>
      </c>
      <c r="J93" s="5"/>
    </row>
    <row r="94" spans="1:10" x14ac:dyDescent="0.25">
      <c r="A94" s="19" t="s">
        <v>122</v>
      </c>
      <c r="B94" s="5" t="s">
        <v>123</v>
      </c>
      <c r="C94" s="15">
        <v>1</v>
      </c>
      <c r="D94" s="16" t="s">
        <v>336</v>
      </c>
      <c r="E94" s="19" t="s">
        <v>337</v>
      </c>
      <c r="F94" s="5" t="s">
        <v>338</v>
      </c>
      <c r="G94" s="5"/>
      <c r="H94" s="19" t="s">
        <v>339</v>
      </c>
      <c r="I94" s="15" t="s">
        <v>93</v>
      </c>
      <c r="J94" s="5"/>
    </row>
    <row r="95" spans="1:10" x14ac:dyDescent="0.25">
      <c r="A95" s="19" t="s">
        <v>122</v>
      </c>
      <c r="B95" s="5" t="s">
        <v>123</v>
      </c>
      <c r="C95" s="15">
        <v>2</v>
      </c>
      <c r="D95" s="16" t="s">
        <v>473</v>
      </c>
      <c r="E95" s="19" t="s">
        <v>456</v>
      </c>
      <c r="F95" s="5" t="s">
        <v>474</v>
      </c>
      <c r="G95" s="5"/>
      <c r="H95" s="19" t="s">
        <v>341</v>
      </c>
      <c r="I95" s="15" t="s">
        <v>93</v>
      </c>
      <c r="J95" s="5"/>
    </row>
    <row r="96" spans="1:10" x14ac:dyDescent="0.25">
      <c r="A96" s="19" t="s">
        <v>122</v>
      </c>
      <c r="B96" s="5" t="s">
        <v>123</v>
      </c>
      <c r="C96" s="15">
        <v>3</v>
      </c>
      <c r="D96" s="16" t="s">
        <v>475</v>
      </c>
      <c r="E96" s="19" t="s">
        <v>456</v>
      </c>
      <c r="F96" s="5" t="s">
        <v>476</v>
      </c>
      <c r="G96" s="5"/>
      <c r="H96" s="19"/>
      <c r="I96" s="15" t="s">
        <v>93</v>
      </c>
      <c r="J96" s="5"/>
    </row>
    <row r="97" spans="1:10" x14ac:dyDescent="0.25">
      <c r="A97" s="19" t="s">
        <v>122</v>
      </c>
      <c r="B97" s="5" t="s">
        <v>123</v>
      </c>
      <c r="C97" s="15">
        <v>4</v>
      </c>
      <c r="D97" s="16" t="s">
        <v>477</v>
      </c>
      <c r="E97" s="19" t="s">
        <v>422</v>
      </c>
      <c r="F97" s="5" t="s">
        <v>478</v>
      </c>
      <c r="G97" s="5"/>
      <c r="H97" s="19"/>
      <c r="I97" s="15" t="s">
        <v>93</v>
      </c>
      <c r="J97" s="5"/>
    </row>
    <row r="98" spans="1:10" x14ac:dyDescent="0.25">
      <c r="A98" s="19" t="s">
        <v>122</v>
      </c>
      <c r="B98" s="5" t="s">
        <v>123</v>
      </c>
      <c r="C98" s="15">
        <v>5</v>
      </c>
      <c r="D98" s="16" t="s">
        <v>479</v>
      </c>
      <c r="E98" s="19" t="s">
        <v>456</v>
      </c>
      <c r="F98" s="5" t="s">
        <v>480</v>
      </c>
      <c r="G98" s="5"/>
      <c r="H98" s="19"/>
      <c r="I98" s="15" t="s">
        <v>93</v>
      </c>
      <c r="J98" s="5"/>
    </row>
    <row r="99" spans="1:10" x14ac:dyDescent="0.25">
      <c r="A99" s="19" t="s">
        <v>122</v>
      </c>
      <c r="B99" s="5" t="s">
        <v>123</v>
      </c>
      <c r="C99" s="15">
        <v>6</v>
      </c>
      <c r="D99" s="16" t="s">
        <v>481</v>
      </c>
      <c r="E99" s="19" t="s">
        <v>376</v>
      </c>
      <c r="F99" s="5" t="s">
        <v>482</v>
      </c>
      <c r="G99" s="5"/>
      <c r="H99" s="19"/>
      <c r="I99" s="15" t="s">
        <v>93</v>
      </c>
      <c r="J99" s="5"/>
    </row>
    <row r="100" spans="1:10" x14ac:dyDescent="0.25">
      <c r="A100" s="19" t="s">
        <v>122</v>
      </c>
      <c r="B100" s="5" t="s">
        <v>123</v>
      </c>
      <c r="C100" s="15">
        <v>7</v>
      </c>
      <c r="D100" s="16" t="s">
        <v>483</v>
      </c>
      <c r="E100" s="19" t="s">
        <v>388</v>
      </c>
      <c r="F100" s="5" t="s">
        <v>484</v>
      </c>
      <c r="G100" s="5"/>
      <c r="H100" s="19"/>
      <c r="I100" s="15" t="s">
        <v>93</v>
      </c>
      <c r="J100" s="5"/>
    </row>
    <row r="101" spans="1:10" ht="26.4" x14ac:dyDescent="0.25">
      <c r="A101" s="19" t="s">
        <v>122</v>
      </c>
      <c r="B101" s="5" t="s">
        <v>123</v>
      </c>
      <c r="C101" s="15">
        <v>8</v>
      </c>
      <c r="D101" s="16" t="s">
        <v>485</v>
      </c>
      <c r="E101" s="19" t="s">
        <v>486</v>
      </c>
      <c r="F101" s="5" t="s">
        <v>487</v>
      </c>
      <c r="G101" s="5"/>
      <c r="H101" s="19"/>
      <c r="I101" s="15" t="s">
        <v>93</v>
      </c>
      <c r="J101" s="7" t="s">
        <v>488</v>
      </c>
    </row>
    <row r="102" spans="1:10" x14ac:dyDescent="0.25">
      <c r="A102" s="19" t="s">
        <v>122</v>
      </c>
      <c r="B102" s="5" t="s">
        <v>123</v>
      </c>
      <c r="C102" s="15">
        <v>9</v>
      </c>
      <c r="D102" s="16" t="s">
        <v>489</v>
      </c>
      <c r="E102" s="19" t="s">
        <v>371</v>
      </c>
      <c r="F102" s="5" t="s">
        <v>490</v>
      </c>
      <c r="G102" s="5"/>
      <c r="H102" s="19"/>
      <c r="I102" s="15" t="s">
        <v>418</v>
      </c>
      <c r="J102" s="5"/>
    </row>
    <row r="103" spans="1:10" ht="26.4" x14ac:dyDescent="0.25">
      <c r="A103" s="19" t="s">
        <v>122</v>
      </c>
      <c r="B103" s="5" t="s">
        <v>123</v>
      </c>
      <c r="C103" s="15">
        <v>10</v>
      </c>
      <c r="D103" s="16" t="s">
        <v>491</v>
      </c>
      <c r="E103" s="19" t="s">
        <v>486</v>
      </c>
      <c r="F103" s="5" t="s">
        <v>492</v>
      </c>
      <c r="G103" s="5"/>
      <c r="H103" s="19"/>
      <c r="I103" s="15" t="s">
        <v>93</v>
      </c>
      <c r="J103" s="7" t="s">
        <v>488</v>
      </c>
    </row>
    <row r="104" spans="1:10" x14ac:dyDescent="0.25">
      <c r="A104" s="19" t="s">
        <v>122</v>
      </c>
      <c r="B104" s="5" t="s">
        <v>123</v>
      </c>
      <c r="C104" s="15">
        <v>11</v>
      </c>
      <c r="D104" s="16" t="s">
        <v>493</v>
      </c>
      <c r="E104" s="19" t="s">
        <v>371</v>
      </c>
      <c r="F104" s="5" t="s">
        <v>494</v>
      </c>
      <c r="G104" s="5"/>
      <c r="H104" s="19"/>
      <c r="I104" s="15" t="s">
        <v>418</v>
      </c>
      <c r="J104" s="5"/>
    </row>
    <row r="105" spans="1:10" ht="26.4" x14ac:dyDescent="0.25">
      <c r="A105" s="19" t="s">
        <v>122</v>
      </c>
      <c r="B105" s="5" t="s">
        <v>123</v>
      </c>
      <c r="C105" s="15">
        <v>12</v>
      </c>
      <c r="D105" s="16" t="s">
        <v>495</v>
      </c>
      <c r="E105" s="19" t="s">
        <v>496</v>
      </c>
      <c r="F105" s="5" t="s">
        <v>497</v>
      </c>
      <c r="G105" s="5" t="s">
        <v>498</v>
      </c>
      <c r="H105" s="19"/>
      <c r="I105" s="15" t="s">
        <v>93</v>
      </c>
      <c r="J105" s="5"/>
    </row>
    <row r="106" spans="1:10" x14ac:dyDescent="0.25">
      <c r="A106" s="19" t="s">
        <v>122</v>
      </c>
      <c r="B106" s="5" t="s">
        <v>123</v>
      </c>
      <c r="C106" s="15">
        <v>13</v>
      </c>
      <c r="D106" s="16" t="s">
        <v>499</v>
      </c>
      <c r="E106" s="19" t="s">
        <v>376</v>
      </c>
      <c r="F106" s="5" t="s">
        <v>500</v>
      </c>
      <c r="G106" s="5"/>
      <c r="H106" s="19"/>
      <c r="I106" s="15" t="s">
        <v>93</v>
      </c>
      <c r="J106" s="5"/>
    </row>
    <row r="107" spans="1:10" x14ac:dyDescent="0.25">
      <c r="A107" s="19" t="s">
        <v>122</v>
      </c>
      <c r="B107" s="5" t="s">
        <v>123</v>
      </c>
      <c r="C107" s="15">
        <v>14</v>
      </c>
      <c r="D107" s="16" t="s">
        <v>501</v>
      </c>
      <c r="E107" s="19" t="s">
        <v>502</v>
      </c>
      <c r="F107" s="5" t="s">
        <v>503</v>
      </c>
      <c r="G107" s="5"/>
      <c r="H107" s="19"/>
      <c r="I107" s="15" t="s">
        <v>93</v>
      </c>
      <c r="J107" s="5"/>
    </row>
    <row r="108" spans="1:10" x14ac:dyDescent="0.25">
      <c r="A108" s="19" t="s">
        <v>122</v>
      </c>
      <c r="B108" s="5" t="s">
        <v>123</v>
      </c>
      <c r="C108" s="15">
        <v>15</v>
      </c>
      <c r="D108" s="16" t="s">
        <v>126</v>
      </c>
      <c r="E108" s="19" t="s">
        <v>371</v>
      </c>
      <c r="F108" s="5" t="s">
        <v>504</v>
      </c>
      <c r="G108" s="5"/>
      <c r="H108" s="19"/>
      <c r="I108" s="15" t="s">
        <v>93</v>
      </c>
      <c r="J108" s="5"/>
    </row>
    <row r="109" spans="1:10" x14ac:dyDescent="0.25">
      <c r="A109" s="19" t="s">
        <v>122</v>
      </c>
      <c r="B109" s="5" t="s">
        <v>123</v>
      </c>
      <c r="C109" s="15">
        <v>16</v>
      </c>
      <c r="D109" s="16" t="s">
        <v>505</v>
      </c>
      <c r="E109" s="19" t="s">
        <v>371</v>
      </c>
      <c r="F109" s="5" t="s">
        <v>506</v>
      </c>
      <c r="G109" s="5"/>
      <c r="H109" s="19"/>
      <c r="I109" s="15" t="s">
        <v>418</v>
      </c>
      <c r="J109" s="5"/>
    </row>
    <row r="110" spans="1:10" x14ac:dyDescent="0.25">
      <c r="A110" s="19" t="s">
        <v>129</v>
      </c>
      <c r="B110" s="5" t="s">
        <v>130</v>
      </c>
      <c r="C110" s="15">
        <v>1</v>
      </c>
      <c r="D110" s="16" t="s">
        <v>336</v>
      </c>
      <c r="E110" s="19" t="s">
        <v>337</v>
      </c>
      <c r="F110" s="5" t="s">
        <v>338</v>
      </c>
      <c r="G110" s="5"/>
      <c r="H110" s="19" t="s">
        <v>339</v>
      </c>
      <c r="I110" s="15" t="s">
        <v>93</v>
      </c>
      <c r="J110" s="5"/>
    </row>
    <row r="111" spans="1:10" x14ac:dyDescent="0.25">
      <c r="A111" s="19" t="s">
        <v>129</v>
      </c>
      <c r="B111" s="5" t="s">
        <v>130</v>
      </c>
      <c r="C111" s="15">
        <v>2</v>
      </c>
      <c r="D111" s="16" t="s">
        <v>405</v>
      </c>
      <c r="E111" s="19" t="s">
        <v>371</v>
      </c>
      <c r="F111" s="5" t="s">
        <v>406</v>
      </c>
      <c r="G111" s="5"/>
      <c r="H111" s="19"/>
      <c r="I111" s="15" t="s">
        <v>93</v>
      </c>
      <c r="J111" s="5"/>
    </row>
    <row r="112" spans="1:10" x14ac:dyDescent="0.25">
      <c r="A112" s="19" t="s">
        <v>129</v>
      </c>
      <c r="B112" s="5" t="s">
        <v>130</v>
      </c>
      <c r="C112" s="15">
        <v>3</v>
      </c>
      <c r="D112" s="16" t="s">
        <v>109</v>
      </c>
      <c r="E112" s="19" t="s">
        <v>92</v>
      </c>
      <c r="F112" s="5" t="s">
        <v>507</v>
      </c>
      <c r="G112" s="5"/>
      <c r="H112" s="19"/>
      <c r="I112" s="15" t="s">
        <v>93</v>
      </c>
      <c r="J112" s="5"/>
    </row>
    <row r="113" spans="1:10" ht="26.4" x14ac:dyDescent="0.25">
      <c r="A113" s="19" t="s">
        <v>129</v>
      </c>
      <c r="B113" s="5" t="s">
        <v>130</v>
      </c>
      <c r="C113" s="15">
        <v>4</v>
      </c>
      <c r="D113" s="16" t="s">
        <v>408</v>
      </c>
      <c r="E113" s="19" t="s">
        <v>409</v>
      </c>
      <c r="F113" s="5" t="s">
        <v>410</v>
      </c>
      <c r="G113" s="5"/>
      <c r="H113" s="19"/>
      <c r="I113" s="15" t="s">
        <v>93</v>
      </c>
      <c r="J113" s="5"/>
    </row>
    <row r="114" spans="1:10" x14ac:dyDescent="0.25">
      <c r="A114" s="19" t="s">
        <v>129</v>
      </c>
      <c r="B114" s="5" t="s">
        <v>130</v>
      </c>
      <c r="C114" s="15">
        <v>5</v>
      </c>
      <c r="D114" s="16" t="s">
        <v>473</v>
      </c>
      <c r="E114" s="19" t="s">
        <v>456</v>
      </c>
      <c r="F114" s="5" t="s">
        <v>508</v>
      </c>
      <c r="G114" s="5"/>
      <c r="H114" s="19"/>
      <c r="I114" s="15" t="s">
        <v>93</v>
      </c>
      <c r="J114" s="5"/>
    </row>
    <row r="115" spans="1:10" x14ac:dyDescent="0.25">
      <c r="A115" s="19" t="s">
        <v>129</v>
      </c>
      <c r="B115" s="5" t="s">
        <v>130</v>
      </c>
      <c r="C115" s="15">
        <v>6</v>
      </c>
      <c r="D115" s="16" t="s">
        <v>509</v>
      </c>
      <c r="E115" s="19" t="s">
        <v>337</v>
      </c>
      <c r="F115" s="5" t="s">
        <v>510</v>
      </c>
      <c r="G115" s="5"/>
      <c r="H115" s="19"/>
      <c r="I115" s="15" t="s">
        <v>418</v>
      </c>
      <c r="J115" s="5"/>
    </row>
    <row r="116" spans="1:10" x14ac:dyDescent="0.25">
      <c r="A116" s="19" t="s">
        <v>129</v>
      </c>
      <c r="B116" s="5" t="s">
        <v>130</v>
      </c>
      <c r="C116" s="15">
        <v>7</v>
      </c>
      <c r="D116" s="16" t="s">
        <v>511</v>
      </c>
      <c r="E116" s="19" t="s">
        <v>337</v>
      </c>
      <c r="F116" s="5" t="s">
        <v>512</v>
      </c>
      <c r="G116" s="5"/>
      <c r="H116" s="19"/>
      <c r="I116" s="15" t="s">
        <v>418</v>
      </c>
      <c r="J116" s="5"/>
    </row>
    <row r="117" spans="1:10" x14ac:dyDescent="0.25">
      <c r="A117" s="19" t="s">
        <v>129</v>
      </c>
      <c r="B117" s="5" t="s">
        <v>130</v>
      </c>
      <c r="C117" s="15">
        <v>8</v>
      </c>
      <c r="D117" s="16" t="s">
        <v>513</v>
      </c>
      <c r="E117" s="19" t="s">
        <v>337</v>
      </c>
      <c r="F117" s="5" t="s">
        <v>514</v>
      </c>
      <c r="G117" s="5"/>
      <c r="H117" s="19"/>
      <c r="I117" s="15" t="s">
        <v>418</v>
      </c>
      <c r="J117" s="5"/>
    </row>
    <row r="118" spans="1:10" x14ac:dyDescent="0.25">
      <c r="A118" s="19" t="s">
        <v>129</v>
      </c>
      <c r="B118" s="5" t="s">
        <v>130</v>
      </c>
      <c r="C118" s="15">
        <v>9</v>
      </c>
      <c r="D118" s="16" t="s">
        <v>515</v>
      </c>
      <c r="E118" s="19" t="s">
        <v>367</v>
      </c>
      <c r="F118" s="5" t="s">
        <v>516</v>
      </c>
      <c r="G118" s="5"/>
      <c r="H118" s="19"/>
      <c r="I118" s="15" t="s">
        <v>418</v>
      </c>
      <c r="J118" s="5"/>
    </row>
    <row r="119" spans="1:10" x14ac:dyDescent="0.25">
      <c r="A119" s="19" t="s">
        <v>133</v>
      </c>
      <c r="B119" s="5" t="s">
        <v>134</v>
      </c>
      <c r="C119" s="15">
        <v>1</v>
      </c>
      <c r="D119" s="16" t="s">
        <v>336</v>
      </c>
      <c r="E119" s="19" t="s">
        <v>337</v>
      </c>
      <c r="F119" s="5" t="s">
        <v>338</v>
      </c>
      <c r="G119" s="5"/>
      <c r="H119" s="19" t="s">
        <v>339</v>
      </c>
      <c r="I119" s="15" t="s">
        <v>93</v>
      </c>
      <c r="J119" s="5"/>
    </row>
    <row r="120" spans="1:10" x14ac:dyDescent="0.25">
      <c r="A120" s="19" t="s">
        <v>133</v>
      </c>
      <c r="B120" s="5" t="s">
        <v>134</v>
      </c>
      <c r="C120" s="15">
        <v>2</v>
      </c>
      <c r="D120" s="16" t="s">
        <v>136</v>
      </c>
      <c r="E120" s="19" t="s">
        <v>371</v>
      </c>
      <c r="F120" s="5" t="s">
        <v>517</v>
      </c>
      <c r="G120" s="5"/>
      <c r="H120" s="19"/>
      <c r="I120" s="15" t="s">
        <v>93</v>
      </c>
      <c r="J120" s="5"/>
    </row>
    <row r="121" spans="1:10" x14ac:dyDescent="0.25">
      <c r="A121" s="19" t="s">
        <v>133</v>
      </c>
      <c r="B121" s="5" t="s">
        <v>134</v>
      </c>
      <c r="C121" s="15">
        <v>3</v>
      </c>
      <c r="D121" s="16" t="s">
        <v>518</v>
      </c>
      <c r="E121" s="19" t="s">
        <v>502</v>
      </c>
      <c r="F121" s="5" t="s">
        <v>519</v>
      </c>
      <c r="G121" s="5"/>
      <c r="H121" s="19"/>
      <c r="I121" s="15" t="s">
        <v>93</v>
      </c>
      <c r="J121" s="5"/>
    </row>
    <row r="122" spans="1:10" x14ac:dyDescent="0.25">
      <c r="A122" s="19" t="s">
        <v>133</v>
      </c>
      <c r="B122" s="5" t="s">
        <v>134</v>
      </c>
      <c r="C122" s="15">
        <v>4</v>
      </c>
      <c r="D122" s="16" t="s">
        <v>520</v>
      </c>
      <c r="E122" s="19" t="s">
        <v>502</v>
      </c>
      <c r="F122" s="5" t="s">
        <v>521</v>
      </c>
      <c r="G122" s="5"/>
      <c r="H122" s="19"/>
      <c r="I122" s="15" t="s">
        <v>93</v>
      </c>
      <c r="J122" s="5"/>
    </row>
    <row r="123" spans="1:10" x14ac:dyDescent="0.25">
      <c r="A123" s="19" t="s">
        <v>133</v>
      </c>
      <c r="B123" s="5" t="s">
        <v>134</v>
      </c>
      <c r="C123" s="15">
        <v>5</v>
      </c>
      <c r="D123" s="16" t="s">
        <v>522</v>
      </c>
      <c r="E123" s="19" t="s">
        <v>456</v>
      </c>
      <c r="F123" s="5" t="s">
        <v>523</v>
      </c>
      <c r="G123" s="5"/>
      <c r="H123" s="19"/>
      <c r="I123" s="15" t="s">
        <v>93</v>
      </c>
      <c r="J123" s="7" t="s">
        <v>524</v>
      </c>
    </row>
    <row r="124" spans="1:10" x14ac:dyDescent="0.25">
      <c r="A124" s="19" t="s">
        <v>133</v>
      </c>
      <c r="B124" s="5" t="s">
        <v>134</v>
      </c>
      <c r="C124" s="15">
        <v>6</v>
      </c>
      <c r="D124" s="16" t="s">
        <v>525</v>
      </c>
      <c r="E124" s="19" t="s">
        <v>371</v>
      </c>
      <c r="F124" s="5" t="s">
        <v>526</v>
      </c>
      <c r="G124" s="5"/>
      <c r="H124" s="19"/>
      <c r="I124" s="15" t="s">
        <v>418</v>
      </c>
      <c r="J124" s="5"/>
    </row>
    <row r="125" spans="1:10" x14ac:dyDescent="0.25">
      <c r="A125" s="19" t="s">
        <v>133</v>
      </c>
      <c r="B125" s="5" t="s">
        <v>134</v>
      </c>
      <c r="C125" s="15">
        <v>7</v>
      </c>
      <c r="D125" s="16" t="s">
        <v>527</v>
      </c>
      <c r="E125" s="19" t="s">
        <v>528</v>
      </c>
      <c r="F125" s="5" t="s">
        <v>529</v>
      </c>
      <c r="G125" s="5"/>
      <c r="H125" s="19"/>
      <c r="I125" s="15" t="s">
        <v>418</v>
      </c>
      <c r="J125" s="5"/>
    </row>
    <row r="126" spans="1:10" ht="26.4" x14ac:dyDescent="0.25">
      <c r="A126" s="19" t="s">
        <v>133</v>
      </c>
      <c r="B126" s="5" t="s">
        <v>134</v>
      </c>
      <c r="C126" s="15">
        <v>8</v>
      </c>
      <c r="D126" s="16" t="s">
        <v>530</v>
      </c>
      <c r="E126" s="19" t="s">
        <v>388</v>
      </c>
      <c r="F126" s="5" t="s">
        <v>531</v>
      </c>
      <c r="G126" s="5"/>
      <c r="H126" s="19"/>
      <c r="I126" s="15" t="s">
        <v>93</v>
      </c>
      <c r="J126" s="7" t="s">
        <v>532</v>
      </c>
    </row>
    <row r="127" spans="1:10" ht="26.4" x14ac:dyDescent="0.25">
      <c r="A127" s="19" t="s">
        <v>133</v>
      </c>
      <c r="B127" s="5" t="s">
        <v>134</v>
      </c>
      <c r="C127" s="15">
        <v>9</v>
      </c>
      <c r="D127" s="16" t="s">
        <v>533</v>
      </c>
      <c r="E127" s="19" t="s">
        <v>388</v>
      </c>
      <c r="F127" s="5" t="s">
        <v>534</v>
      </c>
      <c r="G127" s="5"/>
      <c r="H127" s="19"/>
      <c r="I127" s="15" t="s">
        <v>93</v>
      </c>
      <c r="J127" s="7" t="s">
        <v>532</v>
      </c>
    </row>
    <row r="128" spans="1:10" x14ac:dyDescent="0.25">
      <c r="A128" s="19" t="s">
        <v>133</v>
      </c>
      <c r="B128" s="5" t="s">
        <v>134</v>
      </c>
      <c r="C128" s="15">
        <v>10</v>
      </c>
      <c r="D128" s="16" t="s">
        <v>535</v>
      </c>
      <c r="E128" s="19" t="s">
        <v>412</v>
      </c>
      <c r="F128" s="5" t="s">
        <v>536</v>
      </c>
      <c r="G128" s="5"/>
      <c r="H128" s="19" t="s">
        <v>341</v>
      </c>
      <c r="I128" s="15" t="s">
        <v>93</v>
      </c>
      <c r="J128" s="5"/>
    </row>
    <row r="129" spans="1:10" x14ac:dyDescent="0.25">
      <c r="A129" s="19" t="s">
        <v>139</v>
      </c>
      <c r="B129" s="5" t="s">
        <v>140</v>
      </c>
      <c r="C129" s="15">
        <v>1</v>
      </c>
      <c r="D129" s="16" t="s">
        <v>336</v>
      </c>
      <c r="E129" s="19" t="s">
        <v>337</v>
      </c>
      <c r="F129" s="5" t="s">
        <v>338</v>
      </c>
      <c r="G129" s="5"/>
      <c r="H129" s="19" t="s">
        <v>339</v>
      </c>
      <c r="I129" s="15" t="s">
        <v>93</v>
      </c>
      <c r="J129" s="5"/>
    </row>
    <row r="130" spans="1:10" x14ac:dyDescent="0.25">
      <c r="A130" s="19" t="s">
        <v>139</v>
      </c>
      <c r="B130" s="5" t="s">
        <v>140</v>
      </c>
      <c r="C130" s="15">
        <v>2</v>
      </c>
      <c r="D130" s="16" t="s">
        <v>115</v>
      </c>
      <c r="E130" s="19" t="s">
        <v>371</v>
      </c>
      <c r="F130" s="5" t="s">
        <v>406</v>
      </c>
      <c r="G130" s="5"/>
      <c r="H130" s="19"/>
      <c r="I130" s="15" t="s">
        <v>93</v>
      </c>
      <c r="J130" s="5"/>
    </row>
    <row r="131" spans="1:10" x14ac:dyDescent="0.25">
      <c r="A131" s="19" t="s">
        <v>139</v>
      </c>
      <c r="B131" s="5" t="s">
        <v>140</v>
      </c>
      <c r="C131" s="15">
        <v>3</v>
      </c>
      <c r="D131" s="16" t="s">
        <v>443</v>
      </c>
      <c r="E131" s="19" t="s">
        <v>444</v>
      </c>
      <c r="F131" s="5" t="s">
        <v>415</v>
      </c>
      <c r="G131" s="5"/>
      <c r="H131" s="19"/>
      <c r="I131" s="15" t="s">
        <v>93</v>
      </c>
      <c r="J131" s="5"/>
    </row>
    <row r="132" spans="1:10" x14ac:dyDescent="0.25">
      <c r="A132" s="19" t="s">
        <v>139</v>
      </c>
      <c r="B132" s="5" t="s">
        <v>140</v>
      </c>
      <c r="C132" s="15">
        <v>4</v>
      </c>
      <c r="D132" s="16" t="s">
        <v>473</v>
      </c>
      <c r="E132" s="19" t="s">
        <v>456</v>
      </c>
      <c r="F132" s="5" t="s">
        <v>508</v>
      </c>
      <c r="G132" s="5"/>
      <c r="H132" s="19"/>
      <c r="I132" s="15" t="s">
        <v>93</v>
      </c>
      <c r="J132" s="5"/>
    </row>
    <row r="133" spans="1:10" ht="26.4" x14ac:dyDescent="0.25">
      <c r="A133" s="19" t="s">
        <v>139</v>
      </c>
      <c r="B133" s="5" t="s">
        <v>140</v>
      </c>
      <c r="C133" s="15">
        <v>5</v>
      </c>
      <c r="D133" s="16" t="s">
        <v>408</v>
      </c>
      <c r="E133" s="19" t="s">
        <v>409</v>
      </c>
      <c r="F133" s="5" t="s">
        <v>410</v>
      </c>
      <c r="G133" s="5"/>
      <c r="H133" s="19"/>
      <c r="I133" s="15" t="s">
        <v>93</v>
      </c>
      <c r="J133" s="5"/>
    </row>
    <row r="134" spans="1:10" x14ac:dyDescent="0.25">
      <c r="A134" s="19" t="s">
        <v>139</v>
      </c>
      <c r="B134" s="5" t="s">
        <v>140</v>
      </c>
      <c r="C134" s="15">
        <v>6</v>
      </c>
      <c r="D134" s="16" t="s">
        <v>448</v>
      </c>
      <c r="E134" s="19" t="s">
        <v>388</v>
      </c>
      <c r="F134" s="5" t="s">
        <v>449</v>
      </c>
      <c r="G134" s="5"/>
      <c r="H134" s="19"/>
      <c r="I134" s="15" t="s">
        <v>93</v>
      </c>
      <c r="J134" s="5"/>
    </row>
    <row r="135" spans="1:10" x14ac:dyDescent="0.25">
      <c r="A135" s="19" t="s">
        <v>142</v>
      </c>
      <c r="B135" s="5" t="s">
        <v>143</v>
      </c>
      <c r="C135" s="15">
        <v>1</v>
      </c>
      <c r="D135" s="16" t="s">
        <v>336</v>
      </c>
      <c r="E135" s="19" t="s">
        <v>337</v>
      </c>
      <c r="F135" s="5" t="s">
        <v>338</v>
      </c>
      <c r="G135" s="5"/>
      <c r="H135" s="19" t="s">
        <v>339</v>
      </c>
      <c r="I135" s="15" t="s">
        <v>93</v>
      </c>
      <c r="J135" s="5"/>
    </row>
    <row r="136" spans="1:10" x14ac:dyDescent="0.25">
      <c r="A136" s="19" t="s">
        <v>142</v>
      </c>
      <c r="B136" s="5" t="s">
        <v>143</v>
      </c>
      <c r="C136" s="15">
        <v>2</v>
      </c>
      <c r="D136" s="16" t="s">
        <v>405</v>
      </c>
      <c r="E136" s="19" t="s">
        <v>371</v>
      </c>
      <c r="F136" s="5" t="s">
        <v>406</v>
      </c>
      <c r="G136" s="5"/>
      <c r="H136" s="19"/>
      <c r="I136" s="15" t="s">
        <v>93</v>
      </c>
      <c r="J136" s="5"/>
    </row>
    <row r="137" spans="1:10" x14ac:dyDescent="0.25">
      <c r="A137" s="19" t="s">
        <v>142</v>
      </c>
      <c r="B137" s="5" t="s">
        <v>143</v>
      </c>
      <c r="C137" s="15">
        <v>3</v>
      </c>
      <c r="D137" s="16" t="s">
        <v>109</v>
      </c>
      <c r="E137" s="19" t="s">
        <v>92</v>
      </c>
      <c r="F137" s="5" t="s">
        <v>407</v>
      </c>
      <c r="G137" s="5"/>
      <c r="H137" s="19"/>
      <c r="I137" s="15" t="s">
        <v>93</v>
      </c>
      <c r="J137" s="5"/>
    </row>
    <row r="138" spans="1:10" ht="26.4" x14ac:dyDescent="0.25">
      <c r="A138" s="19" t="s">
        <v>142</v>
      </c>
      <c r="B138" s="5" t="s">
        <v>143</v>
      </c>
      <c r="C138" s="15">
        <v>4</v>
      </c>
      <c r="D138" s="16" t="s">
        <v>408</v>
      </c>
      <c r="E138" s="19" t="s">
        <v>409</v>
      </c>
      <c r="F138" s="5" t="s">
        <v>410</v>
      </c>
      <c r="G138" s="5"/>
      <c r="H138" s="19"/>
      <c r="I138" s="15" t="s">
        <v>93</v>
      </c>
      <c r="J138" s="5"/>
    </row>
    <row r="139" spans="1:10" x14ac:dyDescent="0.25">
      <c r="A139" s="19" t="s">
        <v>142</v>
      </c>
      <c r="B139" s="5" t="s">
        <v>143</v>
      </c>
      <c r="C139" s="15">
        <v>5</v>
      </c>
      <c r="D139" s="16" t="s">
        <v>473</v>
      </c>
      <c r="E139" s="19" t="s">
        <v>456</v>
      </c>
      <c r="F139" s="5" t="s">
        <v>508</v>
      </c>
      <c r="G139" s="5"/>
      <c r="H139" s="19"/>
      <c r="I139" s="15" t="s">
        <v>93</v>
      </c>
      <c r="J139" s="5"/>
    </row>
    <row r="140" spans="1:10" x14ac:dyDescent="0.25">
      <c r="A140" s="19" t="s">
        <v>142</v>
      </c>
      <c r="B140" s="5" t="s">
        <v>143</v>
      </c>
      <c r="C140" s="15">
        <v>6</v>
      </c>
      <c r="D140" s="16" t="s">
        <v>537</v>
      </c>
      <c r="E140" s="19" t="s">
        <v>412</v>
      </c>
      <c r="F140" s="5" t="s">
        <v>538</v>
      </c>
      <c r="G140" s="5"/>
      <c r="H140" s="19"/>
      <c r="I140" s="15" t="s">
        <v>93</v>
      </c>
      <c r="J140" s="5"/>
    </row>
    <row r="141" spans="1:10" x14ac:dyDescent="0.25">
      <c r="A141" s="19" t="s">
        <v>142</v>
      </c>
      <c r="B141" s="5" t="s">
        <v>143</v>
      </c>
      <c r="C141" s="15">
        <v>7</v>
      </c>
      <c r="D141" s="16" t="s">
        <v>525</v>
      </c>
      <c r="E141" s="19" t="s">
        <v>371</v>
      </c>
      <c r="F141" s="5" t="s">
        <v>417</v>
      </c>
      <c r="G141" s="5"/>
      <c r="H141" s="19"/>
      <c r="I141" s="15" t="s">
        <v>418</v>
      </c>
      <c r="J141" s="5"/>
    </row>
    <row r="142" spans="1:10" x14ac:dyDescent="0.25">
      <c r="A142" s="19" t="s">
        <v>142</v>
      </c>
      <c r="B142" s="5" t="s">
        <v>143</v>
      </c>
      <c r="C142" s="15">
        <v>8</v>
      </c>
      <c r="D142" s="16" t="s">
        <v>458</v>
      </c>
      <c r="E142" s="19" t="s">
        <v>376</v>
      </c>
      <c r="F142" s="5" t="s">
        <v>539</v>
      </c>
      <c r="G142" s="5"/>
      <c r="H142" s="19"/>
      <c r="I142" s="15" t="s">
        <v>93</v>
      </c>
      <c r="J142" s="5"/>
    </row>
    <row r="143" spans="1:10" x14ac:dyDescent="0.25">
      <c r="A143" s="19" t="s">
        <v>142</v>
      </c>
      <c r="B143" s="5" t="s">
        <v>143</v>
      </c>
      <c r="C143" s="15">
        <v>9</v>
      </c>
      <c r="D143" s="16" t="s">
        <v>540</v>
      </c>
      <c r="E143" s="19" t="s">
        <v>376</v>
      </c>
      <c r="F143" s="5" t="s">
        <v>541</v>
      </c>
      <c r="G143" s="5"/>
      <c r="H143" s="19"/>
      <c r="I143" s="15" t="s">
        <v>93</v>
      </c>
      <c r="J143" s="5"/>
    </row>
    <row r="144" spans="1:10" x14ac:dyDescent="0.25">
      <c r="A144" s="19" t="s">
        <v>142</v>
      </c>
      <c r="B144" s="5" t="s">
        <v>143</v>
      </c>
      <c r="C144" s="15">
        <v>10</v>
      </c>
      <c r="D144" s="16" t="s">
        <v>542</v>
      </c>
      <c r="E144" s="19" t="s">
        <v>367</v>
      </c>
      <c r="F144" s="5" t="s">
        <v>543</v>
      </c>
      <c r="G144" s="5"/>
      <c r="H144" s="19"/>
      <c r="I144" s="15" t="s">
        <v>93</v>
      </c>
      <c r="J144" s="5"/>
    </row>
    <row r="145" spans="1:10" x14ac:dyDescent="0.25">
      <c r="A145" s="19" t="s">
        <v>142</v>
      </c>
      <c r="B145" s="5" t="s">
        <v>143</v>
      </c>
      <c r="C145" s="15">
        <v>11</v>
      </c>
      <c r="D145" s="16" t="s">
        <v>544</v>
      </c>
      <c r="E145" s="19" t="s">
        <v>337</v>
      </c>
      <c r="F145" s="5" t="s">
        <v>545</v>
      </c>
      <c r="G145" s="5"/>
      <c r="H145" s="19"/>
      <c r="I145" s="15" t="s">
        <v>93</v>
      </c>
      <c r="J145" s="5"/>
    </row>
    <row r="146" spans="1:10" x14ac:dyDescent="0.25">
      <c r="A146" s="19" t="s">
        <v>142</v>
      </c>
      <c r="B146" s="5" t="s">
        <v>143</v>
      </c>
      <c r="C146" s="15">
        <v>12</v>
      </c>
      <c r="D146" s="16" t="s">
        <v>546</v>
      </c>
      <c r="E146" s="19" t="s">
        <v>337</v>
      </c>
      <c r="F146" s="5" t="s">
        <v>547</v>
      </c>
      <c r="G146" s="5"/>
      <c r="H146" s="19"/>
      <c r="I146" s="15" t="s">
        <v>93</v>
      </c>
      <c r="J146" s="5"/>
    </row>
    <row r="147" spans="1:10" x14ac:dyDescent="0.25">
      <c r="A147" s="19" t="s">
        <v>142</v>
      </c>
      <c r="B147" s="5" t="s">
        <v>143</v>
      </c>
      <c r="C147" s="15">
        <v>13</v>
      </c>
      <c r="D147" s="16" t="s">
        <v>548</v>
      </c>
      <c r="E147" s="19" t="s">
        <v>337</v>
      </c>
      <c r="F147" s="5" t="s">
        <v>429</v>
      </c>
      <c r="G147" s="5"/>
      <c r="H147" s="19"/>
      <c r="I147" s="15" t="s">
        <v>93</v>
      </c>
      <c r="J147" s="5"/>
    </row>
    <row r="148" spans="1:10" x14ac:dyDescent="0.25">
      <c r="A148" s="19" t="s">
        <v>142</v>
      </c>
      <c r="B148" s="5" t="s">
        <v>143</v>
      </c>
      <c r="C148" s="15">
        <v>14</v>
      </c>
      <c r="D148" s="16" t="s">
        <v>549</v>
      </c>
      <c r="E148" s="19" t="s">
        <v>337</v>
      </c>
      <c r="F148" s="5" t="s">
        <v>431</v>
      </c>
      <c r="G148" s="5"/>
      <c r="H148" s="19"/>
      <c r="I148" s="15" t="s">
        <v>93</v>
      </c>
      <c r="J148" s="5"/>
    </row>
    <row r="149" spans="1:10" x14ac:dyDescent="0.25">
      <c r="A149" s="19" t="s">
        <v>145</v>
      </c>
      <c r="B149" s="5" t="s">
        <v>146</v>
      </c>
      <c r="C149" s="15">
        <v>1</v>
      </c>
      <c r="D149" s="16" t="s">
        <v>336</v>
      </c>
      <c r="E149" s="19" t="s">
        <v>337</v>
      </c>
      <c r="F149" s="5" t="s">
        <v>338</v>
      </c>
      <c r="G149" s="5"/>
      <c r="H149" s="19" t="s">
        <v>339</v>
      </c>
      <c r="I149" s="15" t="s">
        <v>93</v>
      </c>
      <c r="J149" s="5"/>
    </row>
    <row r="150" spans="1:10" x14ac:dyDescent="0.25">
      <c r="A150" s="19" t="s">
        <v>145</v>
      </c>
      <c r="B150" s="5" t="s">
        <v>146</v>
      </c>
      <c r="C150" s="15">
        <v>2</v>
      </c>
      <c r="D150" s="16" t="s">
        <v>405</v>
      </c>
      <c r="E150" s="19" t="s">
        <v>371</v>
      </c>
      <c r="F150" s="5" t="s">
        <v>406</v>
      </c>
      <c r="G150" s="5"/>
      <c r="H150" s="19"/>
      <c r="I150" s="15" t="s">
        <v>93</v>
      </c>
      <c r="J150" s="5"/>
    </row>
    <row r="151" spans="1:10" x14ac:dyDescent="0.25">
      <c r="A151" s="19" t="s">
        <v>145</v>
      </c>
      <c r="B151" s="5" t="s">
        <v>146</v>
      </c>
      <c r="C151" s="15">
        <v>3</v>
      </c>
      <c r="D151" s="16" t="s">
        <v>109</v>
      </c>
      <c r="E151" s="19" t="s">
        <v>92</v>
      </c>
      <c r="F151" s="5" t="s">
        <v>507</v>
      </c>
      <c r="G151" s="5"/>
      <c r="H151" s="19"/>
      <c r="I151" s="15" t="s">
        <v>93</v>
      </c>
      <c r="J151" s="5"/>
    </row>
    <row r="152" spans="1:10" ht="26.4" x14ac:dyDescent="0.25">
      <c r="A152" s="19" t="s">
        <v>145</v>
      </c>
      <c r="B152" s="5" t="s">
        <v>146</v>
      </c>
      <c r="C152" s="15">
        <v>4</v>
      </c>
      <c r="D152" s="16" t="s">
        <v>408</v>
      </c>
      <c r="E152" s="19" t="s">
        <v>409</v>
      </c>
      <c r="F152" s="5" t="s">
        <v>410</v>
      </c>
      <c r="G152" s="5"/>
      <c r="H152" s="19"/>
      <c r="I152" s="15" t="s">
        <v>93</v>
      </c>
      <c r="J152" s="5"/>
    </row>
    <row r="153" spans="1:10" x14ac:dyDescent="0.25">
      <c r="A153" s="19" t="s">
        <v>145</v>
      </c>
      <c r="B153" s="5" t="s">
        <v>146</v>
      </c>
      <c r="C153" s="15">
        <v>5</v>
      </c>
      <c r="D153" s="16" t="s">
        <v>550</v>
      </c>
      <c r="E153" s="19" t="s">
        <v>412</v>
      </c>
      <c r="F153" s="5" t="s">
        <v>551</v>
      </c>
      <c r="G153" s="5"/>
      <c r="H153" s="19"/>
      <c r="I153" s="15" t="s">
        <v>93</v>
      </c>
      <c r="J153" s="5"/>
    </row>
    <row r="154" spans="1:10" x14ac:dyDescent="0.25">
      <c r="A154" s="19" t="s">
        <v>145</v>
      </c>
      <c r="B154" s="5" t="s">
        <v>146</v>
      </c>
      <c r="C154" s="15">
        <v>6</v>
      </c>
      <c r="D154" s="16" t="s">
        <v>552</v>
      </c>
      <c r="E154" s="19" t="s">
        <v>456</v>
      </c>
      <c r="F154" s="5" t="s">
        <v>553</v>
      </c>
      <c r="G154" s="5"/>
      <c r="H154" s="19"/>
      <c r="I154" s="15" t="s">
        <v>93</v>
      </c>
      <c r="J154" s="5"/>
    </row>
    <row r="155" spans="1:10" x14ac:dyDescent="0.25">
      <c r="A155" s="19" t="s">
        <v>145</v>
      </c>
      <c r="B155" s="5" t="s">
        <v>146</v>
      </c>
      <c r="C155" s="15">
        <v>7</v>
      </c>
      <c r="D155" s="16" t="s">
        <v>458</v>
      </c>
      <c r="E155" s="19" t="s">
        <v>422</v>
      </c>
      <c r="F155" s="5" t="s">
        <v>478</v>
      </c>
      <c r="G155" s="5"/>
      <c r="H155" s="19"/>
      <c r="I155" s="15" t="s">
        <v>93</v>
      </c>
      <c r="J155" s="5"/>
    </row>
    <row r="156" spans="1:10" x14ac:dyDescent="0.25">
      <c r="A156" s="19" t="s">
        <v>145</v>
      </c>
      <c r="B156" s="5" t="s">
        <v>146</v>
      </c>
      <c r="C156" s="15">
        <v>8</v>
      </c>
      <c r="D156" s="16" t="s">
        <v>554</v>
      </c>
      <c r="E156" s="19" t="s">
        <v>337</v>
      </c>
      <c r="F156" s="5" t="s">
        <v>510</v>
      </c>
      <c r="G156" s="5"/>
      <c r="H156" s="19"/>
      <c r="I156" s="15" t="s">
        <v>418</v>
      </c>
      <c r="J156" s="5"/>
    </row>
    <row r="157" spans="1:10" x14ac:dyDescent="0.25">
      <c r="A157" s="19" t="s">
        <v>145</v>
      </c>
      <c r="B157" s="5" t="s">
        <v>146</v>
      </c>
      <c r="C157" s="15">
        <v>9</v>
      </c>
      <c r="D157" s="16" t="s">
        <v>544</v>
      </c>
      <c r="E157" s="19" t="s">
        <v>337</v>
      </c>
      <c r="F157" s="5" t="s">
        <v>555</v>
      </c>
      <c r="G157" s="5"/>
      <c r="H157" s="19"/>
      <c r="I157" s="15" t="s">
        <v>418</v>
      </c>
      <c r="J157" s="5"/>
    </row>
    <row r="158" spans="1:10" x14ac:dyDescent="0.25">
      <c r="A158" s="19" t="s">
        <v>145</v>
      </c>
      <c r="B158" s="5" t="s">
        <v>146</v>
      </c>
      <c r="C158" s="15">
        <v>10</v>
      </c>
      <c r="D158" s="16" t="s">
        <v>515</v>
      </c>
      <c r="E158" s="19" t="s">
        <v>367</v>
      </c>
      <c r="F158" s="5" t="s">
        <v>516</v>
      </c>
      <c r="G158" s="5"/>
      <c r="H158" s="19"/>
      <c r="I158" s="15" t="s">
        <v>418</v>
      </c>
      <c r="J158" s="5"/>
    </row>
    <row r="159" spans="1:10" x14ac:dyDescent="0.25">
      <c r="A159" s="19" t="s">
        <v>149</v>
      </c>
      <c r="B159" s="5" t="s">
        <v>150</v>
      </c>
      <c r="C159" s="15">
        <v>1</v>
      </c>
      <c r="D159" s="16" t="s">
        <v>336</v>
      </c>
      <c r="E159" s="19" t="s">
        <v>337</v>
      </c>
      <c r="F159" s="5" t="s">
        <v>338</v>
      </c>
      <c r="G159" s="5"/>
      <c r="H159" s="19" t="s">
        <v>339</v>
      </c>
      <c r="I159" s="15" t="s">
        <v>93</v>
      </c>
      <c r="J159" s="5"/>
    </row>
    <row r="160" spans="1:10" x14ac:dyDescent="0.25">
      <c r="A160" s="19" t="s">
        <v>149</v>
      </c>
      <c r="B160" s="5" t="s">
        <v>150</v>
      </c>
      <c r="C160" s="15">
        <v>2</v>
      </c>
      <c r="D160" s="16" t="s">
        <v>115</v>
      </c>
      <c r="E160" s="19" t="s">
        <v>371</v>
      </c>
      <c r="F160" s="5" t="s">
        <v>406</v>
      </c>
      <c r="G160" s="5"/>
      <c r="H160" s="19"/>
      <c r="I160" s="15" t="s">
        <v>93</v>
      </c>
      <c r="J160" s="5"/>
    </row>
    <row r="161" spans="1:10" x14ac:dyDescent="0.25">
      <c r="A161" s="19" t="s">
        <v>149</v>
      </c>
      <c r="B161" s="5" t="s">
        <v>150</v>
      </c>
      <c r="C161" s="15">
        <v>3</v>
      </c>
      <c r="D161" s="16" t="s">
        <v>443</v>
      </c>
      <c r="E161" s="19" t="s">
        <v>444</v>
      </c>
      <c r="F161" s="5" t="s">
        <v>415</v>
      </c>
      <c r="G161" s="5"/>
      <c r="H161" s="19"/>
      <c r="I161" s="15" t="s">
        <v>93</v>
      </c>
      <c r="J161" s="5"/>
    </row>
    <row r="162" spans="1:10" x14ac:dyDescent="0.25">
      <c r="A162" s="19" t="s">
        <v>149</v>
      </c>
      <c r="B162" s="5" t="s">
        <v>150</v>
      </c>
      <c r="C162" s="15">
        <v>4</v>
      </c>
      <c r="D162" s="16" t="s">
        <v>550</v>
      </c>
      <c r="E162" s="19" t="s">
        <v>412</v>
      </c>
      <c r="F162" s="5" t="s">
        <v>556</v>
      </c>
      <c r="G162" s="5"/>
      <c r="H162" s="19"/>
      <c r="I162" s="15" t="s">
        <v>93</v>
      </c>
      <c r="J162" s="5"/>
    </row>
    <row r="163" spans="1:10" ht="26.4" x14ac:dyDescent="0.25">
      <c r="A163" s="19" t="s">
        <v>149</v>
      </c>
      <c r="B163" s="5" t="s">
        <v>150</v>
      </c>
      <c r="C163" s="15">
        <v>5</v>
      </c>
      <c r="D163" s="16" t="s">
        <v>408</v>
      </c>
      <c r="E163" s="19" t="s">
        <v>409</v>
      </c>
      <c r="F163" s="5" t="s">
        <v>410</v>
      </c>
      <c r="G163" s="5"/>
      <c r="H163" s="19"/>
      <c r="I163" s="15" t="s">
        <v>93</v>
      </c>
      <c r="J163" s="5"/>
    </row>
    <row r="164" spans="1:10" x14ac:dyDescent="0.25">
      <c r="A164" s="19" t="s">
        <v>149</v>
      </c>
      <c r="B164" s="5" t="s">
        <v>150</v>
      </c>
      <c r="C164" s="15">
        <v>6</v>
      </c>
      <c r="D164" s="16" t="s">
        <v>448</v>
      </c>
      <c r="E164" s="19" t="s">
        <v>388</v>
      </c>
      <c r="F164" s="5" t="s">
        <v>449</v>
      </c>
      <c r="G164" s="5"/>
      <c r="H164" s="19"/>
      <c r="I164" s="15" t="s">
        <v>93</v>
      </c>
      <c r="J164" s="5"/>
    </row>
    <row r="165" spans="1:10" x14ac:dyDescent="0.25">
      <c r="A165" s="19" t="s">
        <v>153</v>
      </c>
      <c r="B165" s="5" t="s">
        <v>154</v>
      </c>
      <c r="C165" s="15">
        <v>1</v>
      </c>
      <c r="D165" s="16" t="s">
        <v>336</v>
      </c>
      <c r="E165" s="19" t="s">
        <v>337</v>
      </c>
      <c r="F165" s="5" t="s">
        <v>338</v>
      </c>
      <c r="G165" s="5"/>
      <c r="H165" s="19" t="s">
        <v>339</v>
      </c>
      <c r="I165" s="15" t="s">
        <v>93</v>
      </c>
      <c r="J165" s="5"/>
    </row>
    <row r="166" spans="1:10" x14ac:dyDescent="0.25">
      <c r="A166" s="19" t="s">
        <v>153</v>
      </c>
      <c r="B166" s="5" t="s">
        <v>154</v>
      </c>
      <c r="C166" s="15">
        <v>2</v>
      </c>
      <c r="D166" s="16" t="s">
        <v>405</v>
      </c>
      <c r="E166" s="19" t="s">
        <v>371</v>
      </c>
      <c r="F166" s="5" t="s">
        <v>406</v>
      </c>
      <c r="G166" s="5"/>
      <c r="H166" s="19"/>
      <c r="I166" s="15" t="s">
        <v>93</v>
      </c>
      <c r="J166" s="5"/>
    </row>
    <row r="167" spans="1:10" x14ac:dyDescent="0.25">
      <c r="A167" s="19" t="s">
        <v>153</v>
      </c>
      <c r="B167" s="5" t="s">
        <v>154</v>
      </c>
      <c r="C167" s="15">
        <v>3</v>
      </c>
      <c r="D167" s="16" t="s">
        <v>109</v>
      </c>
      <c r="E167" s="19" t="s">
        <v>92</v>
      </c>
      <c r="F167" s="5" t="s">
        <v>407</v>
      </c>
      <c r="G167" s="5"/>
      <c r="H167" s="19"/>
      <c r="I167" s="15" t="s">
        <v>93</v>
      </c>
      <c r="J167" s="5"/>
    </row>
    <row r="168" spans="1:10" ht="26.4" x14ac:dyDescent="0.25">
      <c r="A168" s="19" t="s">
        <v>153</v>
      </c>
      <c r="B168" s="5" t="s">
        <v>154</v>
      </c>
      <c r="C168" s="15">
        <v>4</v>
      </c>
      <c r="D168" s="16" t="s">
        <v>408</v>
      </c>
      <c r="E168" s="19" t="s">
        <v>409</v>
      </c>
      <c r="F168" s="5" t="s">
        <v>410</v>
      </c>
      <c r="G168" s="5"/>
      <c r="H168" s="19"/>
      <c r="I168" s="15" t="s">
        <v>93</v>
      </c>
      <c r="J168" s="5"/>
    </row>
    <row r="169" spans="1:10" x14ac:dyDescent="0.25">
      <c r="A169" s="19" t="s">
        <v>153</v>
      </c>
      <c r="B169" s="5" t="s">
        <v>154</v>
      </c>
      <c r="C169" s="15">
        <v>5</v>
      </c>
      <c r="D169" s="16" t="s">
        <v>550</v>
      </c>
      <c r="E169" s="19" t="s">
        <v>412</v>
      </c>
      <c r="F169" s="5" t="s">
        <v>551</v>
      </c>
      <c r="G169" s="5"/>
      <c r="H169" s="19"/>
      <c r="I169" s="15" t="s">
        <v>93</v>
      </c>
      <c r="J169" s="5"/>
    </row>
    <row r="170" spans="1:10" x14ac:dyDescent="0.25">
      <c r="A170" s="19" t="s">
        <v>153</v>
      </c>
      <c r="B170" s="5" t="s">
        <v>154</v>
      </c>
      <c r="C170" s="15">
        <v>6</v>
      </c>
      <c r="D170" s="16" t="s">
        <v>537</v>
      </c>
      <c r="E170" s="19" t="s">
        <v>412</v>
      </c>
      <c r="F170" s="5" t="s">
        <v>538</v>
      </c>
      <c r="G170" s="5"/>
      <c r="H170" s="19"/>
      <c r="I170" s="15" t="s">
        <v>93</v>
      </c>
      <c r="J170" s="5"/>
    </row>
    <row r="171" spans="1:10" x14ac:dyDescent="0.25">
      <c r="A171" s="19" t="s">
        <v>153</v>
      </c>
      <c r="B171" s="5" t="s">
        <v>154</v>
      </c>
      <c r="C171" s="15">
        <v>7</v>
      </c>
      <c r="D171" s="16" t="s">
        <v>557</v>
      </c>
      <c r="E171" s="19" t="s">
        <v>371</v>
      </c>
      <c r="F171" s="5" t="s">
        <v>417</v>
      </c>
      <c r="G171" s="5"/>
      <c r="H171" s="19"/>
      <c r="I171" s="15" t="s">
        <v>418</v>
      </c>
      <c r="J171" s="5"/>
    </row>
    <row r="172" spans="1:10" x14ac:dyDescent="0.25">
      <c r="A172" s="19" t="s">
        <v>153</v>
      </c>
      <c r="B172" s="5" t="s">
        <v>154</v>
      </c>
      <c r="C172" s="15">
        <v>8</v>
      </c>
      <c r="D172" s="16" t="s">
        <v>458</v>
      </c>
      <c r="E172" s="19" t="s">
        <v>376</v>
      </c>
      <c r="F172" s="5" t="s">
        <v>558</v>
      </c>
      <c r="G172" s="5"/>
      <c r="H172" s="19"/>
      <c r="I172" s="15" t="s">
        <v>93</v>
      </c>
      <c r="J172" s="5"/>
    </row>
    <row r="173" spans="1:10" x14ac:dyDescent="0.25">
      <c r="A173" s="19" t="s">
        <v>153</v>
      </c>
      <c r="B173" s="5" t="s">
        <v>154</v>
      </c>
      <c r="C173" s="15">
        <v>9</v>
      </c>
      <c r="D173" s="16" t="s">
        <v>542</v>
      </c>
      <c r="E173" s="19" t="s">
        <v>367</v>
      </c>
      <c r="F173" s="5" t="s">
        <v>543</v>
      </c>
      <c r="G173" s="5"/>
      <c r="H173" s="19"/>
      <c r="I173" s="15" t="s">
        <v>93</v>
      </c>
      <c r="J173" s="5"/>
    </row>
    <row r="174" spans="1:10" x14ac:dyDescent="0.25">
      <c r="A174" s="19" t="s">
        <v>153</v>
      </c>
      <c r="B174" s="5" t="s">
        <v>154</v>
      </c>
      <c r="C174" s="15">
        <v>10</v>
      </c>
      <c r="D174" s="16" t="s">
        <v>559</v>
      </c>
      <c r="E174" s="19" t="s">
        <v>528</v>
      </c>
      <c r="F174" s="5" t="s">
        <v>560</v>
      </c>
      <c r="G174" s="5"/>
      <c r="H174" s="19"/>
      <c r="I174" s="15" t="s">
        <v>93</v>
      </c>
      <c r="J174" s="5"/>
    </row>
    <row r="175" spans="1:10" x14ac:dyDescent="0.25">
      <c r="A175" s="19" t="s">
        <v>153</v>
      </c>
      <c r="B175" s="5" t="s">
        <v>154</v>
      </c>
      <c r="C175" s="15">
        <v>11</v>
      </c>
      <c r="D175" s="16" t="s">
        <v>544</v>
      </c>
      <c r="E175" s="19" t="s">
        <v>337</v>
      </c>
      <c r="F175" s="5" t="s">
        <v>545</v>
      </c>
      <c r="G175" s="5"/>
      <c r="H175" s="19"/>
      <c r="I175" s="15" t="s">
        <v>93</v>
      </c>
      <c r="J175" s="5"/>
    </row>
    <row r="176" spans="1:10" x14ac:dyDescent="0.25">
      <c r="A176" s="19" t="s">
        <v>153</v>
      </c>
      <c r="B176" s="5" t="s">
        <v>154</v>
      </c>
      <c r="C176" s="15">
        <v>12</v>
      </c>
      <c r="D176" s="16" t="s">
        <v>546</v>
      </c>
      <c r="E176" s="19" t="s">
        <v>337</v>
      </c>
      <c r="F176" s="5" t="s">
        <v>547</v>
      </c>
      <c r="G176" s="5"/>
      <c r="H176" s="19"/>
      <c r="I176" s="15" t="s">
        <v>93</v>
      </c>
      <c r="J176" s="5"/>
    </row>
    <row r="177" spans="1:10" x14ac:dyDescent="0.25">
      <c r="A177" s="19" t="s">
        <v>153</v>
      </c>
      <c r="B177" s="5" t="s">
        <v>154</v>
      </c>
      <c r="C177" s="15">
        <v>13</v>
      </c>
      <c r="D177" s="16" t="s">
        <v>548</v>
      </c>
      <c r="E177" s="19" t="s">
        <v>337</v>
      </c>
      <c r="F177" s="5" t="s">
        <v>429</v>
      </c>
      <c r="G177" s="5"/>
      <c r="H177" s="19"/>
      <c r="I177" s="15" t="s">
        <v>93</v>
      </c>
      <c r="J177" s="5"/>
    </row>
    <row r="178" spans="1:10" x14ac:dyDescent="0.25">
      <c r="A178" s="19" t="s">
        <v>157</v>
      </c>
      <c r="B178" s="5" t="s">
        <v>158</v>
      </c>
      <c r="C178" s="15">
        <v>1</v>
      </c>
      <c r="D178" s="16" t="s">
        <v>336</v>
      </c>
      <c r="E178" s="19" t="s">
        <v>337</v>
      </c>
      <c r="F178" s="5" t="s">
        <v>338</v>
      </c>
      <c r="G178" s="5"/>
      <c r="H178" s="19" t="s">
        <v>339</v>
      </c>
      <c r="I178" s="15" t="s">
        <v>93</v>
      </c>
      <c r="J178" s="5"/>
    </row>
    <row r="179" spans="1:10" x14ac:dyDescent="0.25">
      <c r="A179" s="19" t="s">
        <v>157</v>
      </c>
      <c r="B179" s="5" t="s">
        <v>158</v>
      </c>
      <c r="C179" s="15">
        <v>2</v>
      </c>
      <c r="D179" s="16" t="s">
        <v>161</v>
      </c>
      <c r="E179" s="19" t="s">
        <v>371</v>
      </c>
      <c r="F179" s="5" t="s">
        <v>67</v>
      </c>
      <c r="G179" s="5"/>
      <c r="H179" s="19"/>
      <c r="I179" s="15" t="s">
        <v>93</v>
      </c>
      <c r="J179" s="5"/>
    </row>
    <row r="180" spans="1:10" x14ac:dyDescent="0.25">
      <c r="A180" s="19" t="s">
        <v>157</v>
      </c>
      <c r="B180" s="5" t="s">
        <v>158</v>
      </c>
      <c r="C180" s="15">
        <v>3</v>
      </c>
      <c r="D180" s="16" t="s">
        <v>443</v>
      </c>
      <c r="E180" s="19" t="s">
        <v>561</v>
      </c>
      <c r="F180" s="5" t="s">
        <v>562</v>
      </c>
      <c r="G180" s="5"/>
      <c r="H180" s="19"/>
      <c r="I180" s="15" t="s">
        <v>93</v>
      </c>
      <c r="J180" s="5"/>
    </row>
    <row r="181" spans="1:10" x14ac:dyDescent="0.25">
      <c r="A181" s="19" t="s">
        <v>157</v>
      </c>
      <c r="B181" s="5" t="s">
        <v>158</v>
      </c>
      <c r="C181" s="15">
        <v>4</v>
      </c>
      <c r="D181" s="16" t="s">
        <v>563</v>
      </c>
      <c r="E181" s="19" t="s">
        <v>456</v>
      </c>
      <c r="F181" s="5" t="s">
        <v>564</v>
      </c>
      <c r="G181" s="5"/>
      <c r="H181" s="19"/>
      <c r="I181" s="15" t="s">
        <v>93</v>
      </c>
      <c r="J181" s="5"/>
    </row>
    <row r="182" spans="1:10" x14ac:dyDescent="0.25">
      <c r="A182" s="19" t="s">
        <v>157</v>
      </c>
      <c r="B182" s="5" t="s">
        <v>158</v>
      </c>
      <c r="C182" s="15">
        <v>5</v>
      </c>
      <c r="D182" s="16" t="s">
        <v>565</v>
      </c>
      <c r="E182" s="19" t="s">
        <v>412</v>
      </c>
      <c r="F182" s="5" t="s">
        <v>566</v>
      </c>
      <c r="G182" s="5"/>
      <c r="H182" s="19"/>
      <c r="I182" s="15" t="s">
        <v>93</v>
      </c>
      <c r="J182" s="7" t="s">
        <v>567</v>
      </c>
    </row>
    <row r="183" spans="1:10" x14ac:dyDescent="0.25">
      <c r="A183" s="19" t="s">
        <v>157</v>
      </c>
      <c r="B183" s="5" t="s">
        <v>158</v>
      </c>
      <c r="C183" s="15">
        <v>6</v>
      </c>
      <c r="D183" s="16" t="s">
        <v>568</v>
      </c>
      <c r="E183" s="19" t="s">
        <v>528</v>
      </c>
      <c r="F183" s="5" t="s">
        <v>569</v>
      </c>
      <c r="G183" s="5"/>
      <c r="H183" s="19"/>
      <c r="I183" s="15" t="s">
        <v>93</v>
      </c>
      <c r="J183" s="5"/>
    </row>
    <row r="184" spans="1:10" x14ac:dyDescent="0.25">
      <c r="A184" s="19" t="s">
        <v>157</v>
      </c>
      <c r="B184" s="5" t="s">
        <v>158</v>
      </c>
      <c r="C184" s="15">
        <v>7</v>
      </c>
      <c r="D184" s="16" t="s">
        <v>570</v>
      </c>
      <c r="E184" s="19" t="s">
        <v>367</v>
      </c>
      <c r="F184" s="5" t="s">
        <v>571</v>
      </c>
      <c r="G184" s="5"/>
      <c r="H184" s="19"/>
      <c r="I184" s="15" t="s">
        <v>93</v>
      </c>
      <c r="J184" s="5"/>
    </row>
    <row r="185" spans="1:10" ht="26.4" x14ac:dyDescent="0.25">
      <c r="A185" s="19" t="s">
        <v>157</v>
      </c>
      <c r="B185" s="5" t="s">
        <v>158</v>
      </c>
      <c r="C185" s="15">
        <v>8</v>
      </c>
      <c r="D185" s="16" t="s">
        <v>572</v>
      </c>
      <c r="E185" s="19" t="s">
        <v>388</v>
      </c>
      <c r="F185" s="5" t="s">
        <v>573</v>
      </c>
      <c r="G185" s="5"/>
      <c r="H185" s="19"/>
      <c r="I185" s="15" t="s">
        <v>93</v>
      </c>
      <c r="J185" s="7" t="s">
        <v>532</v>
      </c>
    </row>
    <row r="186" spans="1:10" x14ac:dyDescent="0.25">
      <c r="A186" s="19" t="s">
        <v>162</v>
      </c>
      <c r="B186" s="5" t="s">
        <v>163</v>
      </c>
      <c r="C186" s="15">
        <v>1</v>
      </c>
      <c r="D186" s="16" t="s">
        <v>336</v>
      </c>
      <c r="E186" s="19" t="s">
        <v>337</v>
      </c>
      <c r="F186" s="5" t="s">
        <v>338</v>
      </c>
      <c r="G186" s="5"/>
      <c r="H186" s="19" t="s">
        <v>339</v>
      </c>
      <c r="I186" s="15" t="s">
        <v>93</v>
      </c>
      <c r="J186" s="5"/>
    </row>
    <row r="187" spans="1:10" x14ac:dyDescent="0.25">
      <c r="A187" s="19" t="s">
        <v>162</v>
      </c>
      <c r="B187" s="5" t="s">
        <v>163</v>
      </c>
      <c r="C187" s="15">
        <v>2</v>
      </c>
      <c r="D187" s="16" t="s">
        <v>92</v>
      </c>
      <c r="E187" s="19" t="s">
        <v>92</v>
      </c>
      <c r="F187" s="5" t="s">
        <v>340</v>
      </c>
      <c r="G187" s="5"/>
      <c r="H187" s="19" t="s">
        <v>341</v>
      </c>
      <c r="I187" s="15" t="s">
        <v>93</v>
      </c>
      <c r="J187" s="5"/>
    </row>
    <row r="188" spans="1:10" x14ac:dyDescent="0.25">
      <c r="A188" s="19" t="s">
        <v>162</v>
      </c>
      <c r="B188" s="5" t="s">
        <v>163</v>
      </c>
      <c r="C188" s="15">
        <v>3</v>
      </c>
      <c r="D188" s="16" t="s">
        <v>574</v>
      </c>
      <c r="E188" s="19" t="s">
        <v>446</v>
      </c>
      <c r="F188" s="5" t="s">
        <v>575</v>
      </c>
      <c r="G188" s="5"/>
      <c r="H188" s="19" t="s">
        <v>341</v>
      </c>
      <c r="I188" s="15" t="s">
        <v>93</v>
      </c>
      <c r="J188" s="7" t="s">
        <v>576</v>
      </c>
    </row>
    <row r="189" spans="1:10" x14ac:dyDescent="0.25">
      <c r="A189" s="19" t="s">
        <v>162</v>
      </c>
      <c r="B189" s="5" t="s">
        <v>163</v>
      </c>
      <c r="C189" s="15">
        <v>4</v>
      </c>
      <c r="D189" s="16" t="s">
        <v>577</v>
      </c>
      <c r="E189" s="19" t="s">
        <v>578</v>
      </c>
      <c r="F189" s="5" t="s">
        <v>579</v>
      </c>
      <c r="G189" s="5"/>
      <c r="H189" s="19"/>
      <c r="I189" s="15" t="s">
        <v>93</v>
      </c>
      <c r="J189" s="5"/>
    </row>
    <row r="190" spans="1:10" x14ac:dyDescent="0.25">
      <c r="A190" s="19" t="s">
        <v>162</v>
      </c>
      <c r="B190" s="5" t="s">
        <v>163</v>
      </c>
      <c r="C190" s="15">
        <v>5</v>
      </c>
      <c r="D190" s="16" t="s">
        <v>580</v>
      </c>
      <c r="E190" s="19" t="s">
        <v>367</v>
      </c>
      <c r="F190" s="5" t="s">
        <v>581</v>
      </c>
      <c r="G190" s="5"/>
      <c r="H190" s="19"/>
      <c r="I190" s="15" t="s">
        <v>93</v>
      </c>
      <c r="J190" s="5"/>
    </row>
    <row r="191" spans="1:10" x14ac:dyDescent="0.25">
      <c r="A191" s="19" t="s">
        <v>162</v>
      </c>
      <c r="B191" s="5" t="s">
        <v>163</v>
      </c>
      <c r="C191" s="15">
        <v>6</v>
      </c>
      <c r="D191" s="16" t="s">
        <v>582</v>
      </c>
      <c r="E191" s="19" t="s">
        <v>367</v>
      </c>
      <c r="F191" s="5" t="s">
        <v>583</v>
      </c>
      <c r="G191" s="5"/>
      <c r="H191" s="19"/>
      <c r="I191" s="15" t="s">
        <v>93</v>
      </c>
      <c r="J191" s="5"/>
    </row>
    <row r="192" spans="1:10" x14ac:dyDescent="0.25">
      <c r="A192" s="19" t="s">
        <v>162</v>
      </c>
      <c r="B192" s="5" t="s">
        <v>163</v>
      </c>
      <c r="C192" s="15">
        <v>7</v>
      </c>
      <c r="D192" s="16" t="s">
        <v>584</v>
      </c>
      <c r="E192" s="19" t="s">
        <v>367</v>
      </c>
      <c r="F192" s="5" t="s">
        <v>585</v>
      </c>
      <c r="G192" s="5"/>
      <c r="H192" s="19"/>
      <c r="I192" s="15" t="s">
        <v>93</v>
      </c>
      <c r="J192" s="5"/>
    </row>
    <row r="193" spans="1:10" x14ac:dyDescent="0.25">
      <c r="A193" s="19" t="s">
        <v>162</v>
      </c>
      <c r="B193" s="5" t="s">
        <v>163</v>
      </c>
      <c r="C193" s="15">
        <v>8</v>
      </c>
      <c r="D193" s="16" t="s">
        <v>586</v>
      </c>
      <c r="E193" s="19" t="s">
        <v>367</v>
      </c>
      <c r="F193" s="5" t="s">
        <v>587</v>
      </c>
      <c r="G193" s="5"/>
      <c r="H193" s="19"/>
      <c r="I193" s="15" t="s">
        <v>93</v>
      </c>
      <c r="J193" s="5"/>
    </row>
    <row r="194" spans="1:10" x14ac:dyDescent="0.25">
      <c r="A194" s="19" t="s">
        <v>162</v>
      </c>
      <c r="B194" s="5" t="s">
        <v>163</v>
      </c>
      <c r="C194" s="15">
        <v>9</v>
      </c>
      <c r="D194" s="16" t="s">
        <v>174</v>
      </c>
      <c r="E194" s="19" t="s">
        <v>371</v>
      </c>
      <c r="F194" s="5" t="s">
        <v>588</v>
      </c>
      <c r="G194" s="5"/>
      <c r="H194" s="19"/>
      <c r="I194" s="15" t="s">
        <v>93</v>
      </c>
      <c r="J194" s="5"/>
    </row>
    <row r="195" spans="1:10" x14ac:dyDescent="0.25">
      <c r="A195" s="19" t="s">
        <v>162</v>
      </c>
      <c r="B195" s="5" t="s">
        <v>163</v>
      </c>
      <c r="C195" s="15">
        <v>10</v>
      </c>
      <c r="D195" s="16" t="s">
        <v>589</v>
      </c>
      <c r="E195" s="19" t="s">
        <v>367</v>
      </c>
      <c r="F195" s="5" t="s">
        <v>590</v>
      </c>
      <c r="G195" s="5"/>
      <c r="H195" s="19"/>
      <c r="I195" s="15" t="s">
        <v>93</v>
      </c>
      <c r="J195" s="5"/>
    </row>
    <row r="196" spans="1:10" x14ac:dyDescent="0.25">
      <c r="A196" s="19" t="s">
        <v>162</v>
      </c>
      <c r="B196" s="5" t="s">
        <v>163</v>
      </c>
      <c r="C196" s="15">
        <v>11</v>
      </c>
      <c r="D196" s="16" t="s">
        <v>591</v>
      </c>
      <c r="E196" s="19" t="s">
        <v>367</v>
      </c>
      <c r="F196" s="5" t="s">
        <v>592</v>
      </c>
      <c r="G196" s="5"/>
      <c r="H196" s="19"/>
      <c r="I196" s="15" t="s">
        <v>93</v>
      </c>
      <c r="J196" s="5"/>
    </row>
    <row r="197" spans="1:10" x14ac:dyDescent="0.25">
      <c r="A197" s="19" t="s">
        <v>162</v>
      </c>
      <c r="B197" s="5" t="s">
        <v>163</v>
      </c>
      <c r="C197" s="15">
        <v>12</v>
      </c>
      <c r="D197" s="16" t="s">
        <v>593</v>
      </c>
      <c r="E197" s="19" t="s">
        <v>367</v>
      </c>
      <c r="F197" s="5" t="s">
        <v>594</v>
      </c>
      <c r="G197" s="5"/>
      <c r="H197" s="19"/>
      <c r="I197" s="15" t="s">
        <v>93</v>
      </c>
      <c r="J197" s="5"/>
    </row>
    <row r="198" spans="1:10" x14ac:dyDescent="0.25">
      <c r="A198" s="19" t="s">
        <v>162</v>
      </c>
      <c r="B198" s="5" t="s">
        <v>163</v>
      </c>
      <c r="C198" s="15">
        <v>13</v>
      </c>
      <c r="D198" s="16" t="s">
        <v>595</v>
      </c>
      <c r="E198" s="19" t="s">
        <v>367</v>
      </c>
      <c r="F198" s="5" t="s">
        <v>596</v>
      </c>
      <c r="G198" s="5"/>
      <c r="H198" s="19"/>
      <c r="I198" s="15" t="s">
        <v>93</v>
      </c>
      <c r="J198" s="5"/>
    </row>
    <row r="199" spans="1:10" x14ac:dyDescent="0.25">
      <c r="A199" s="19" t="s">
        <v>166</v>
      </c>
      <c r="B199" s="5" t="s">
        <v>167</v>
      </c>
      <c r="C199" s="15">
        <v>1</v>
      </c>
      <c r="D199" s="16" t="s">
        <v>336</v>
      </c>
      <c r="E199" s="19" t="s">
        <v>337</v>
      </c>
      <c r="F199" s="5" t="s">
        <v>338</v>
      </c>
      <c r="G199" s="5"/>
      <c r="H199" s="19" t="s">
        <v>339</v>
      </c>
      <c r="I199" s="15" t="s">
        <v>93</v>
      </c>
      <c r="J199" s="5"/>
    </row>
    <row r="200" spans="1:10" x14ac:dyDescent="0.25">
      <c r="A200" s="19" t="s">
        <v>166</v>
      </c>
      <c r="B200" s="5" t="s">
        <v>167</v>
      </c>
      <c r="C200" s="15">
        <v>2</v>
      </c>
      <c r="D200" s="16" t="s">
        <v>443</v>
      </c>
      <c r="E200" s="19" t="s">
        <v>578</v>
      </c>
      <c r="F200" s="5" t="s">
        <v>597</v>
      </c>
      <c r="G200" s="5"/>
      <c r="H200" s="19"/>
      <c r="I200" s="15" t="s">
        <v>93</v>
      </c>
      <c r="J200" s="5"/>
    </row>
    <row r="201" spans="1:10" x14ac:dyDescent="0.25">
      <c r="A201" s="19" t="s">
        <v>166</v>
      </c>
      <c r="B201" s="5" t="s">
        <v>167</v>
      </c>
      <c r="C201" s="15">
        <v>3</v>
      </c>
      <c r="D201" s="16" t="s">
        <v>448</v>
      </c>
      <c r="E201" s="19" t="s">
        <v>388</v>
      </c>
      <c r="F201" s="5" t="s">
        <v>598</v>
      </c>
      <c r="G201" s="5"/>
      <c r="H201" s="19"/>
      <c r="I201" s="15" t="s">
        <v>93</v>
      </c>
      <c r="J201" s="7" t="s">
        <v>599</v>
      </c>
    </row>
    <row r="202" spans="1:10" x14ac:dyDescent="0.25">
      <c r="A202" s="19" t="s">
        <v>166</v>
      </c>
      <c r="B202" s="5" t="s">
        <v>167</v>
      </c>
      <c r="C202" s="15">
        <v>4</v>
      </c>
      <c r="D202" s="16" t="s">
        <v>169</v>
      </c>
      <c r="E202" s="19" t="s">
        <v>371</v>
      </c>
      <c r="F202" s="5" t="s">
        <v>600</v>
      </c>
      <c r="G202" s="5"/>
      <c r="H202" s="19"/>
      <c r="I202" s="15" t="s">
        <v>93</v>
      </c>
      <c r="J202" s="5"/>
    </row>
    <row r="203" spans="1:10" ht="26.4" x14ac:dyDescent="0.25">
      <c r="A203" s="19" t="s">
        <v>171</v>
      </c>
      <c r="B203" s="5" t="s">
        <v>172</v>
      </c>
      <c r="C203" s="15">
        <v>1</v>
      </c>
      <c r="D203" s="16" t="s">
        <v>601</v>
      </c>
      <c r="E203" s="19" t="s">
        <v>412</v>
      </c>
      <c r="F203" s="5" t="s">
        <v>602</v>
      </c>
      <c r="G203" s="5"/>
      <c r="H203" s="19" t="s">
        <v>339</v>
      </c>
      <c r="I203" s="15" t="s">
        <v>93</v>
      </c>
      <c r="J203" s="5"/>
    </row>
    <row r="204" spans="1:10" ht="26.4" x14ac:dyDescent="0.25">
      <c r="A204" s="19" t="s">
        <v>171</v>
      </c>
      <c r="B204" s="5" t="s">
        <v>172</v>
      </c>
      <c r="C204" s="15">
        <v>2</v>
      </c>
      <c r="D204" s="16" t="s">
        <v>448</v>
      </c>
      <c r="E204" s="19" t="s">
        <v>388</v>
      </c>
      <c r="F204" s="5" t="s">
        <v>603</v>
      </c>
      <c r="G204" s="5"/>
      <c r="H204" s="19"/>
      <c r="I204" s="15" t="s">
        <v>93</v>
      </c>
      <c r="J204" s="7" t="s">
        <v>532</v>
      </c>
    </row>
    <row r="205" spans="1:10" ht="26.4" x14ac:dyDescent="0.25">
      <c r="A205" s="19" t="s">
        <v>171</v>
      </c>
      <c r="B205" s="5" t="s">
        <v>172</v>
      </c>
      <c r="C205" s="15">
        <v>3</v>
      </c>
      <c r="D205" s="16" t="s">
        <v>174</v>
      </c>
      <c r="E205" s="19" t="s">
        <v>371</v>
      </c>
      <c r="F205" s="5" t="s">
        <v>588</v>
      </c>
      <c r="G205" s="5"/>
      <c r="H205" s="19"/>
      <c r="I205" s="15" t="s">
        <v>93</v>
      </c>
      <c r="J205" s="5"/>
    </row>
    <row r="206" spans="1:10" x14ac:dyDescent="0.25">
      <c r="A206" s="19" t="s">
        <v>177</v>
      </c>
      <c r="B206" s="5" t="s">
        <v>178</v>
      </c>
      <c r="C206" s="15">
        <v>1</v>
      </c>
      <c r="D206" s="16" t="s">
        <v>336</v>
      </c>
      <c r="E206" s="19" t="s">
        <v>337</v>
      </c>
      <c r="F206" s="5" t="s">
        <v>338</v>
      </c>
      <c r="G206" s="5"/>
      <c r="H206" s="19" t="s">
        <v>339</v>
      </c>
      <c r="I206" s="15" t="s">
        <v>93</v>
      </c>
      <c r="J206" s="5"/>
    </row>
    <row r="207" spans="1:10" x14ac:dyDescent="0.25">
      <c r="A207" s="19" t="s">
        <v>177</v>
      </c>
      <c r="B207" s="5" t="s">
        <v>178</v>
      </c>
      <c r="C207" s="15">
        <v>2</v>
      </c>
      <c r="D207" s="16" t="s">
        <v>182</v>
      </c>
      <c r="E207" s="19" t="s">
        <v>92</v>
      </c>
      <c r="F207" s="5" t="s">
        <v>604</v>
      </c>
      <c r="G207" s="5"/>
      <c r="H207" s="19" t="s">
        <v>341</v>
      </c>
      <c r="I207" s="15" t="s">
        <v>93</v>
      </c>
      <c r="J207" s="5"/>
    </row>
    <row r="208" spans="1:10" x14ac:dyDescent="0.25">
      <c r="A208" s="19" t="s">
        <v>177</v>
      </c>
      <c r="B208" s="5" t="s">
        <v>178</v>
      </c>
      <c r="C208" s="15">
        <v>3</v>
      </c>
      <c r="D208" s="16" t="s">
        <v>574</v>
      </c>
      <c r="E208" s="19" t="s">
        <v>446</v>
      </c>
      <c r="F208" s="5" t="s">
        <v>575</v>
      </c>
      <c r="G208" s="5"/>
      <c r="H208" s="19" t="s">
        <v>341</v>
      </c>
      <c r="I208" s="15" t="s">
        <v>93</v>
      </c>
      <c r="J208" s="7" t="s">
        <v>576</v>
      </c>
    </row>
    <row r="209" spans="1:10" x14ac:dyDescent="0.25">
      <c r="A209" s="19" t="s">
        <v>177</v>
      </c>
      <c r="B209" s="5" t="s">
        <v>178</v>
      </c>
      <c r="C209" s="15">
        <v>4</v>
      </c>
      <c r="D209" s="16" t="s">
        <v>577</v>
      </c>
      <c r="E209" s="19" t="s">
        <v>578</v>
      </c>
      <c r="F209" s="5" t="s">
        <v>579</v>
      </c>
      <c r="G209" s="5"/>
      <c r="H209" s="19"/>
      <c r="I209" s="15" t="s">
        <v>93</v>
      </c>
      <c r="J209" s="5"/>
    </row>
    <row r="210" spans="1:10" x14ac:dyDescent="0.25">
      <c r="A210" s="19" t="s">
        <v>177</v>
      </c>
      <c r="B210" s="5" t="s">
        <v>178</v>
      </c>
      <c r="C210" s="15">
        <v>5</v>
      </c>
      <c r="D210" s="16" t="s">
        <v>605</v>
      </c>
      <c r="E210" s="19" t="s">
        <v>367</v>
      </c>
      <c r="F210" s="5" t="s">
        <v>606</v>
      </c>
      <c r="G210" s="5"/>
      <c r="H210" s="19"/>
      <c r="I210" s="15" t="s">
        <v>93</v>
      </c>
      <c r="J210" s="5"/>
    </row>
    <row r="211" spans="1:10" x14ac:dyDescent="0.25">
      <c r="A211" s="19" t="s">
        <v>177</v>
      </c>
      <c r="B211" s="5" t="s">
        <v>178</v>
      </c>
      <c r="C211" s="15">
        <v>6</v>
      </c>
      <c r="D211" s="16" t="s">
        <v>607</v>
      </c>
      <c r="E211" s="19" t="s">
        <v>367</v>
      </c>
      <c r="F211" s="5" t="s">
        <v>608</v>
      </c>
      <c r="G211" s="5"/>
      <c r="H211" s="19"/>
      <c r="I211" s="15" t="s">
        <v>93</v>
      </c>
      <c r="J211" s="5"/>
    </row>
    <row r="212" spans="1:10" x14ac:dyDescent="0.25">
      <c r="A212" s="19" t="s">
        <v>177</v>
      </c>
      <c r="B212" s="5" t="s">
        <v>178</v>
      </c>
      <c r="C212" s="15">
        <v>7</v>
      </c>
      <c r="D212" s="16" t="s">
        <v>609</v>
      </c>
      <c r="E212" s="19" t="s">
        <v>367</v>
      </c>
      <c r="F212" s="5" t="s">
        <v>610</v>
      </c>
      <c r="G212" s="5"/>
      <c r="H212" s="19"/>
      <c r="I212" s="15" t="s">
        <v>93</v>
      </c>
      <c r="J212" s="5"/>
    </row>
    <row r="213" spans="1:10" x14ac:dyDescent="0.25">
      <c r="A213" s="19" t="s">
        <v>177</v>
      </c>
      <c r="B213" s="5" t="s">
        <v>178</v>
      </c>
      <c r="C213" s="15">
        <v>8</v>
      </c>
      <c r="D213" s="16" t="s">
        <v>611</v>
      </c>
      <c r="E213" s="19" t="s">
        <v>367</v>
      </c>
      <c r="F213" s="5" t="s">
        <v>612</v>
      </c>
      <c r="G213" s="5"/>
      <c r="H213" s="19"/>
      <c r="I213" s="15" t="s">
        <v>93</v>
      </c>
      <c r="J213" s="5"/>
    </row>
    <row r="214" spans="1:10" x14ac:dyDescent="0.25">
      <c r="A214" s="19" t="s">
        <v>177</v>
      </c>
      <c r="B214" s="5" t="s">
        <v>178</v>
      </c>
      <c r="C214" s="15">
        <v>9</v>
      </c>
      <c r="D214" s="16" t="s">
        <v>613</v>
      </c>
      <c r="E214" s="19" t="s">
        <v>337</v>
      </c>
      <c r="F214" s="5" t="s">
        <v>614</v>
      </c>
      <c r="G214" s="5"/>
      <c r="H214" s="19"/>
      <c r="I214" s="15" t="s">
        <v>93</v>
      </c>
      <c r="J214" s="5"/>
    </row>
    <row r="215" spans="1:10" x14ac:dyDescent="0.25">
      <c r="A215" s="19" t="s">
        <v>177</v>
      </c>
      <c r="B215" s="5" t="s">
        <v>178</v>
      </c>
      <c r="C215" s="15">
        <v>10</v>
      </c>
      <c r="D215" s="16" t="s">
        <v>615</v>
      </c>
      <c r="E215" s="19" t="s">
        <v>367</v>
      </c>
      <c r="F215" s="5" t="s">
        <v>616</v>
      </c>
      <c r="G215" s="5"/>
      <c r="H215" s="19"/>
      <c r="I215" s="15" t="s">
        <v>93</v>
      </c>
      <c r="J215" s="5"/>
    </row>
    <row r="216" spans="1:10" x14ac:dyDescent="0.25">
      <c r="A216" s="19" t="s">
        <v>177</v>
      </c>
      <c r="B216" s="5" t="s">
        <v>178</v>
      </c>
      <c r="C216" s="15">
        <v>11</v>
      </c>
      <c r="D216" s="16" t="s">
        <v>617</v>
      </c>
      <c r="E216" s="19" t="s">
        <v>367</v>
      </c>
      <c r="F216" s="5" t="s">
        <v>538</v>
      </c>
      <c r="G216" s="5"/>
      <c r="H216" s="19"/>
      <c r="I216" s="15" t="s">
        <v>93</v>
      </c>
      <c r="J216" s="5"/>
    </row>
    <row r="217" spans="1:10" x14ac:dyDescent="0.25">
      <c r="A217" s="19" t="s">
        <v>177</v>
      </c>
      <c r="B217" s="5" t="s">
        <v>178</v>
      </c>
      <c r="C217" s="15">
        <v>12</v>
      </c>
      <c r="D217" s="16" t="s">
        <v>174</v>
      </c>
      <c r="E217" s="19" t="s">
        <v>371</v>
      </c>
      <c r="F217" s="5" t="s">
        <v>588</v>
      </c>
      <c r="G217" s="5"/>
      <c r="H217" s="19"/>
      <c r="I217" s="15" t="s">
        <v>93</v>
      </c>
      <c r="J217" s="5"/>
    </row>
    <row r="218" spans="1:10" x14ac:dyDescent="0.25">
      <c r="A218" s="19" t="s">
        <v>184</v>
      </c>
      <c r="B218" s="5" t="s">
        <v>185</v>
      </c>
      <c r="C218" s="15">
        <v>1</v>
      </c>
      <c r="D218" s="16" t="s">
        <v>336</v>
      </c>
      <c r="E218" s="19" t="s">
        <v>337</v>
      </c>
      <c r="F218" s="5" t="s">
        <v>338</v>
      </c>
      <c r="G218" s="5"/>
      <c r="H218" s="19" t="s">
        <v>339</v>
      </c>
      <c r="I218" s="15" t="s">
        <v>93</v>
      </c>
      <c r="J218" s="5"/>
    </row>
    <row r="219" spans="1:10" x14ac:dyDescent="0.25">
      <c r="A219" s="19" t="s">
        <v>184</v>
      </c>
      <c r="B219" s="5" t="s">
        <v>185</v>
      </c>
      <c r="C219" s="15">
        <v>2</v>
      </c>
      <c r="D219" s="16" t="s">
        <v>618</v>
      </c>
      <c r="E219" s="19" t="s">
        <v>619</v>
      </c>
      <c r="F219" s="5" t="s">
        <v>620</v>
      </c>
      <c r="G219" s="5"/>
      <c r="H219" s="19" t="s">
        <v>341</v>
      </c>
      <c r="I219" s="15" t="s">
        <v>93</v>
      </c>
      <c r="J219" s="5"/>
    </row>
    <row r="220" spans="1:10" x14ac:dyDescent="0.25">
      <c r="A220" s="19" t="s">
        <v>184</v>
      </c>
      <c r="B220" s="5" t="s">
        <v>185</v>
      </c>
      <c r="C220" s="15">
        <v>3</v>
      </c>
      <c r="D220" s="16" t="s">
        <v>563</v>
      </c>
      <c r="E220" s="19" t="s">
        <v>456</v>
      </c>
      <c r="F220" s="5" t="s">
        <v>621</v>
      </c>
      <c r="G220" s="5"/>
      <c r="H220" s="19"/>
      <c r="I220" s="15" t="s">
        <v>93</v>
      </c>
      <c r="J220" s="5"/>
    </row>
    <row r="221" spans="1:10" x14ac:dyDescent="0.25">
      <c r="A221" s="19" t="s">
        <v>184</v>
      </c>
      <c r="B221" s="5" t="s">
        <v>185</v>
      </c>
      <c r="C221" s="15">
        <v>4</v>
      </c>
      <c r="D221" s="16" t="s">
        <v>622</v>
      </c>
      <c r="E221" s="19" t="s">
        <v>528</v>
      </c>
      <c r="F221" s="5" t="s">
        <v>623</v>
      </c>
      <c r="G221" s="5"/>
      <c r="H221" s="19"/>
      <c r="I221" s="15" t="s">
        <v>93</v>
      </c>
      <c r="J221" s="5"/>
    </row>
    <row r="222" spans="1:10" x14ac:dyDescent="0.25">
      <c r="A222" s="19" t="s">
        <v>184</v>
      </c>
      <c r="B222" s="5" t="s">
        <v>185</v>
      </c>
      <c r="C222" s="15">
        <v>5</v>
      </c>
      <c r="D222" s="16" t="s">
        <v>169</v>
      </c>
      <c r="E222" s="19" t="s">
        <v>371</v>
      </c>
      <c r="F222" s="5" t="s">
        <v>67</v>
      </c>
      <c r="G222" s="5"/>
      <c r="H222" s="19"/>
      <c r="I222" s="15" t="s">
        <v>93</v>
      </c>
      <c r="J222" s="5"/>
    </row>
    <row r="223" spans="1:10" x14ac:dyDescent="0.25">
      <c r="A223" s="19" t="s">
        <v>188</v>
      </c>
      <c r="B223" s="5" t="s">
        <v>189</v>
      </c>
      <c r="C223" s="15">
        <v>1</v>
      </c>
      <c r="D223" s="16" t="s">
        <v>618</v>
      </c>
      <c r="E223" s="19" t="s">
        <v>624</v>
      </c>
      <c r="F223" s="5" t="s">
        <v>625</v>
      </c>
      <c r="G223" s="5"/>
      <c r="H223" s="19" t="s">
        <v>339</v>
      </c>
      <c r="I223" s="15" t="s">
        <v>93</v>
      </c>
      <c r="J223" s="5"/>
    </row>
    <row r="224" spans="1:10" x14ac:dyDescent="0.25">
      <c r="A224" s="19" t="s">
        <v>188</v>
      </c>
      <c r="B224" s="5" t="s">
        <v>189</v>
      </c>
      <c r="C224" s="15">
        <v>2</v>
      </c>
      <c r="D224" s="16" t="s">
        <v>626</v>
      </c>
      <c r="E224" s="19" t="s">
        <v>619</v>
      </c>
      <c r="F224" s="5" t="s">
        <v>627</v>
      </c>
      <c r="G224" s="5"/>
      <c r="H224" s="19"/>
      <c r="I224" s="15" t="s">
        <v>93</v>
      </c>
      <c r="J224" s="5"/>
    </row>
    <row r="225" spans="1:10" x14ac:dyDescent="0.25">
      <c r="A225" s="19" t="s">
        <v>188</v>
      </c>
      <c r="B225" s="5" t="s">
        <v>189</v>
      </c>
      <c r="C225" s="15">
        <v>3</v>
      </c>
      <c r="D225" s="16" t="s">
        <v>628</v>
      </c>
      <c r="E225" s="19" t="s">
        <v>578</v>
      </c>
      <c r="F225" s="5" t="s">
        <v>629</v>
      </c>
      <c r="G225" s="5"/>
      <c r="H225" s="19"/>
      <c r="I225" s="15" t="s">
        <v>93</v>
      </c>
      <c r="J225" s="5"/>
    </row>
    <row r="226" spans="1:10" x14ac:dyDescent="0.25">
      <c r="A226" s="19" t="s">
        <v>188</v>
      </c>
      <c r="B226" s="5" t="s">
        <v>189</v>
      </c>
      <c r="C226" s="15">
        <v>4</v>
      </c>
      <c r="D226" s="16" t="s">
        <v>630</v>
      </c>
      <c r="E226" s="19" t="s">
        <v>446</v>
      </c>
      <c r="F226" s="5" t="s">
        <v>631</v>
      </c>
      <c r="G226" s="5"/>
      <c r="H226" s="19"/>
      <c r="I226" s="15" t="s">
        <v>93</v>
      </c>
      <c r="J226" s="5"/>
    </row>
    <row r="227" spans="1:10" x14ac:dyDescent="0.25">
      <c r="A227" s="19" t="s">
        <v>188</v>
      </c>
      <c r="B227" s="5" t="s">
        <v>189</v>
      </c>
      <c r="C227" s="15">
        <v>5</v>
      </c>
      <c r="D227" s="16" t="s">
        <v>632</v>
      </c>
      <c r="E227" s="19" t="s">
        <v>633</v>
      </c>
      <c r="F227" s="5" t="s">
        <v>634</v>
      </c>
      <c r="G227" s="5"/>
      <c r="H227" s="19"/>
      <c r="I227" s="15" t="s">
        <v>93</v>
      </c>
      <c r="J227" s="5"/>
    </row>
    <row r="228" spans="1:10" x14ac:dyDescent="0.25">
      <c r="A228" s="19" t="s">
        <v>188</v>
      </c>
      <c r="B228" s="5" t="s">
        <v>189</v>
      </c>
      <c r="C228" s="15">
        <v>6</v>
      </c>
      <c r="D228" s="16" t="s">
        <v>635</v>
      </c>
      <c r="E228" s="19" t="s">
        <v>367</v>
      </c>
      <c r="F228" s="5" t="s">
        <v>636</v>
      </c>
      <c r="G228" s="5"/>
      <c r="H228" s="19"/>
      <c r="I228" s="15" t="s">
        <v>418</v>
      </c>
      <c r="J228" s="5"/>
    </row>
    <row r="229" spans="1:10" x14ac:dyDescent="0.25">
      <c r="A229" s="19" t="s">
        <v>188</v>
      </c>
      <c r="B229" s="5" t="s">
        <v>189</v>
      </c>
      <c r="C229" s="15">
        <v>7</v>
      </c>
      <c r="D229" s="16" t="s">
        <v>637</v>
      </c>
      <c r="E229" s="19" t="s">
        <v>638</v>
      </c>
      <c r="F229" s="5" t="s">
        <v>639</v>
      </c>
      <c r="G229" s="5"/>
      <c r="H229" s="19"/>
      <c r="I229" s="15" t="s">
        <v>93</v>
      </c>
      <c r="J229" s="5"/>
    </row>
    <row r="230" spans="1:10" x14ac:dyDescent="0.25">
      <c r="A230" s="19" t="s">
        <v>188</v>
      </c>
      <c r="B230" s="5" t="s">
        <v>189</v>
      </c>
      <c r="C230" s="15">
        <v>8</v>
      </c>
      <c r="D230" s="16" t="s">
        <v>640</v>
      </c>
      <c r="E230" s="19" t="s">
        <v>367</v>
      </c>
      <c r="F230" s="5" t="s">
        <v>641</v>
      </c>
      <c r="G230" s="5"/>
      <c r="H230" s="19"/>
      <c r="I230" s="15" t="s">
        <v>418</v>
      </c>
      <c r="J230" s="5"/>
    </row>
    <row r="231" spans="1:10" ht="132" x14ac:dyDescent="0.25">
      <c r="A231" s="19" t="s">
        <v>188</v>
      </c>
      <c r="B231" s="5" t="s">
        <v>189</v>
      </c>
      <c r="C231" s="15">
        <v>9</v>
      </c>
      <c r="D231" s="16" t="s">
        <v>642</v>
      </c>
      <c r="E231" s="19" t="s">
        <v>578</v>
      </c>
      <c r="F231" s="5" t="s">
        <v>643</v>
      </c>
      <c r="G231" s="5" t="s">
        <v>644</v>
      </c>
      <c r="H231" s="19"/>
      <c r="I231" s="15" t="s">
        <v>93</v>
      </c>
      <c r="J231" s="5"/>
    </row>
    <row r="232" spans="1:10" x14ac:dyDescent="0.25">
      <c r="A232" s="19" t="s">
        <v>188</v>
      </c>
      <c r="B232" s="5" t="s">
        <v>189</v>
      </c>
      <c r="C232" s="15">
        <v>10</v>
      </c>
      <c r="D232" s="16" t="s">
        <v>645</v>
      </c>
      <c r="E232" s="19" t="s">
        <v>371</v>
      </c>
      <c r="F232" s="5" t="s">
        <v>646</v>
      </c>
      <c r="G232" s="5"/>
      <c r="H232" s="19"/>
      <c r="I232" s="15" t="s">
        <v>93</v>
      </c>
      <c r="J232" s="5"/>
    </row>
    <row r="233" spans="1:10" x14ac:dyDescent="0.25">
      <c r="A233" s="19" t="s">
        <v>188</v>
      </c>
      <c r="B233" s="5" t="s">
        <v>189</v>
      </c>
      <c r="C233" s="15">
        <v>11</v>
      </c>
      <c r="D233" s="16" t="s">
        <v>647</v>
      </c>
      <c r="E233" s="19" t="s">
        <v>371</v>
      </c>
      <c r="F233" s="5" t="s">
        <v>648</v>
      </c>
      <c r="G233" s="5"/>
      <c r="H233" s="19"/>
      <c r="I233" s="15" t="s">
        <v>93</v>
      </c>
      <c r="J233" s="5"/>
    </row>
    <row r="234" spans="1:10" x14ac:dyDescent="0.25">
      <c r="A234" s="19" t="s">
        <v>188</v>
      </c>
      <c r="B234" s="5" t="s">
        <v>189</v>
      </c>
      <c r="C234" s="15">
        <v>12</v>
      </c>
      <c r="D234" s="16" t="s">
        <v>649</v>
      </c>
      <c r="E234" s="19" t="s">
        <v>371</v>
      </c>
      <c r="F234" s="5" t="s">
        <v>650</v>
      </c>
      <c r="G234" s="5"/>
      <c r="H234" s="19"/>
      <c r="I234" s="15" t="s">
        <v>418</v>
      </c>
      <c r="J234" s="5"/>
    </row>
    <row r="235" spans="1:10" ht="26.4" x14ac:dyDescent="0.25">
      <c r="A235" s="19" t="s">
        <v>188</v>
      </c>
      <c r="B235" s="5" t="s">
        <v>189</v>
      </c>
      <c r="C235" s="15">
        <v>13</v>
      </c>
      <c r="D235" s="16" t="s">
        <v>495</v>
      </c>
      <c r="E235" s="19" t="s">
        <v>496</v>
      </c>
      <c r="F235" s="5" t="s">
        <v>497</v>
      </c>
      <c r="G235" s="5" t="s">
        <v>651</v>
      </c>
      <c r="H235" s="19"/>
      <c r="I235" s="15" t="s">
        <v>93</v>
      </c>
      <c r="J235" s="5"/>
    </row>
    <row r="236" spans="1:10" ht="26.4" x14ac:dyDescent="0.25">
      <c r="A236" s="19" t="s">
        <v>188</v>
      </c>
      <c r="B236" s="5" t="s">
        <v>189</v>
      </c>
      <c r="C236" s="15">
        <v>14</v>
      </c>
      <c r="D236" s="16" t="s">
        <v>652</v>
      </c>
      <c r="E236" s="19" t="s">
        <v>653</v>
      </c>
      <c r="F236" s="5" t="s">
        <v>654</v>
      </c>
      <c r="G236" s="5" t="s">
        <v>655</v>
      </c>
      <c r="H236" s="19"/>
      <c r="I236" s="15" t="s">
        <v>93</v>
      </c>
      <c r="J236" s="5"/>
    </row>
    <row r="237" spans="1:10" x14ac:dyDescent="0.25">
      <c r="A237" s="19" t="s">
        <v>188</v>
      </c>
      <c r="B237" s="5" t="s">
        <v>189</v>
      </c>
      <c r="C237" s="15">
        <v>15</v>
      </c>
      <c r="D237" s="16" t="s">
        <v>656</v>
      </c>
      <c r="E237" s="19" t="s">
        <v>92</v>
      </c>
      <c r="F237" s="5" t="s">
        <v>657</v>
      </c>
      <c r="G237" s="5"/>
      <c r="H237" s="19"/>
      <c r="I237" s="15" t="s">
        <v>418</v>
      </c>
      <c r="J237" s="5"/>
    </row>
    <row r="238" spans="1:10" x14ac:dyDescent="0.25">
      <c r="A238" s="19" t="s">
        <v>188</v>
      </c>
      <c r="B238" s="5" t="s">
        <v>189</v>
      </c>
      <c r="C238" s="15">
        <v>16</v>
      </c>
      <c r="D238" s="16" t="s">
        <v>658</v>
      </c>
      <c r="E238" s="19" t="s">
        <v>659</v>
      </c>
      <c r="F238" s="5" t="s">
        <v>660</v>
      </c>
      <c r="G238" s="5"/>
      <c r="H238" s="19"/>
      <c r="I238" s="15" t="s">
        <v>418</v>
      </c>
      <c r="J238" s="5"/>
    </row>
    <row r="239" spans="1:10" x14ac:dyDescent="0.25">
      <c r="A239" s="19" t="s">
        <v>188</v>
      </c>
      <c r="B239" s="5" t="s">
        <v>189</v>
      </c>
      <c r="C239" s="15">
        <v>17</v>
      </c>
      <c r="D239" s="16" t="s">
        <v>661</v>
      </c>
      <c r="E239" s="19" t="s">
        <v>659</v>
      </c>
      <c r="F239" s="5" t="s">
        <v>662</v>
      </c>
      <c r="G239" s="5"/>
      <c r="H239" s="19"/>
      <c r="I239" s="15" t="s">
        <v>418</v>
      </c>
      <c r="J239" s="5"/>
    </row>
    <row r="240" spans="1:10" x14ac:dyDescent="0.25">
      <c r="A240" s="19" t="s">
        <v>188</v>
      </c>
      <c r="B240" s="5" t="s">
        <v>189</v>
      </c>
      <c r="C240" s="15">
        <v>18</v>
      </c>
      <c r="D240" s="16" t="s">
        <v>663</v>
      </c>
      <c r="E240" s="19" t="s">
        <v>486</v>
      </c>
      <c r="F240" s="5" t="s">
        <v>85</v>
      </c>
      <c r="G240" s="5"/>
      <c r="H240" s="19"/>
      <c r="I240" s="15" t="s">
        <v>93</v>
      </c>
      <c r="J240" s="5"/>
    </row>
    <row r="241" spans="1:10" x14ac:dyDescent="0.25">
      <c r="A241" s="19" t="s">
        <v>188</v>
      </c>
      <c r="B241" s="5" t="s">
        <v>189</v>
      </c>
      <c r="C241" s="15">
        <v>19</v>
      </c>
      <c r="D241" s="16" t="s">
        <v>169</v>
      </c>
      <c r="E241" s="19" t="s">
        <v>371</v>
      </c>
      <c r="F241" s="5" t="s">
        <v>600</v>
      </c>
      <c r="G241" s="5"/>
      <c r="H241" s="19"/>
      <c r="I241" s="15" t="s">
        <v>93</v>
      </c>
      <c r="J241" s="5"/>
    </row>
    <row r="242" spans="1:10" x14ac:dyDescent="0.25">
      <c r="A242" s="19" t="s">
        <v>188</v>
      </c>
      <c r="B242" s="5" t="s">
        <v>189</v>
      </c>
      <c r="C242" s="15">
        <v>20</v>
      </c>
      <c r="D242" s="16" t="s">
        <v>174</v>
      </c>
      <c r="E242" s="19" t="s">
        <v>371</v>
      </c>
      <c r="F242" s="5" t="s">
        <v>588</v>
      </c>
      <c r="G242" s="5"/>
      <c r="H242" s="19"/>
      <c r="I242" s="15" t="s">
        <v>93</v>
      </c>
      <c r="J242" s="5"/>
    </row>
    <row r="243" spans="1:10" ht="26.4" x14ac:dyDescent="0.25">
      <c r="A243" s="19" t="s">
        <v>188</v>
      </c>
      <c r="B243" s="5" t="s">
        <v>189</v>
      </c>
      <c r="C243" s="15">
        <v>21</v>
      </c>
      <c r="D243" s="16" t="s">
        <v>664</v>
      </c>
      <c r="E243" s="19" t="s">
        <v>388</v>
      </c>
      <c r="F243" s="5" t="s">
        <v>665</v>
      </c>
      <c r="G243" s="5"/>
      <c r="H243" s="19"/>
      <c r="I243" s="15" t="s">
        <v>93</v>
      </c>
      <c r="J243" s="5"/>
    </row>
    <row r="244" spans="1:10" x14ac:dyDescent="0.25">
      <c r="A244" s="19" t="s">
        <v>188</v>
      </c>
      <c r="B244" s="5" t="s">
        <v>189</v>
      </c>
      <c r="C244" s="15">
        <v>22</v>
      </c>
      <c r="D244" s="16" t="s">
        <v>666</v>
      </c>
      <c r="E244" s="19" t="s">
        <v>371</v>
      </c>
      <c r="F244" s="5" t="s">
        <v>667</v>
      </c>
      <c r="G244" s="5"/>
      <c r="H244" s="19"/>
      <c r="I244" s="15" t="s">
        <v>418</v>
      </c>
      <c r="J244" s="5"/>
    </row>
    <row r="245" spans="1:10" x14ac:dyDescent="0.25">
      <c r="A245" s="19" t="s">
        <v>188</v>
      </c>
      <c r="B245" s="5" t="s">
        <v>189</v>
      </c>
      <c r="C245" s="15">
        <v>23</v>
      </c>
      <c r="D245" s="16" t="s">
        <v>668</v>
      </c>
      <c r="E245" s="19" t="s">
        <v>412</v>
      </c>
      <c r="F245" s="5" t="s">
        <v>669</v>
      </c>
      <c r="G245" s="5"/>
      <c r="H245" s="19"/>
      <c r="I245" s="15" t="s">
        <v>93</v>
      </c>
      <c r="J245" s="5"/>
    </row>
    <row r="246" spans="1:10" x14ac:dyDescent="0.25">
      <c r="A246" s="19" t="s">
        <v>188</v>
      </c>
      <c r="B246" s="5" t="s">
        <v>189</v>
      </c>
      <c r="C246" s="15">
        <v>24</v>
      </c>
      <c r="D246" s="16" t="s">
        <v>670</v>
      </c>
      <c r="E246" s="19" t="s">
        <v>578</v>
      </c>
      <c r="F246" s="5" t="s">
        <v>671</v>
      </c>
      <c r="G246" s="5"/>
      <c r="H246" s="19"/>
      <c r="I246" s="15" t="s">
        <v>93</v>
      </c>
      <c r="J246" s="5"/>
    </row>
    <row r="247" spans="1:10" ht="26.4" x14ac:dyDescent="0.25">
      <c r="A247" s="19" t="s">
        <v>188</v>
      </c>
      <c r="B247" s="5" t="s">
        <v>189</v>
      </c>
      <c r="C247" s="15">
        <v>25</v>
      </c>
      <c r="D247" s="16" t="s">
        <v>672</v>
      </c>
      <c r="E247" s="19" t="s">
        <v>444</v>
      </c>
      <c r="F247" s="5" t="s">
        <v>673</v>
      </c>
      <c r="G247" s="5" t="s">
        <v>674</v>
      </c>
      <c r="H247" s="19"/>
      <c r="I247" s="15" t="s">
        <v>93</v>
      </c>
      <c r="J247" s="5"/>
    </row>
    <row r="248" spans="1:10" x14ac:dyDescent="0.25">
      <c r="A248" s="19" t="s">
        <v>188</v>
      </c>
      <c r="B248" s="5" t="s">
        <v>189</v>
      </c>
      <c r="C248" s="15">
        <v>26</v>
      </c>
      <c r="D248" s="16" t="s">
        <v>675</v>
      </c>
      <c r="E248" s="19" t="s">
        <v>528</v>
      </c>
      <c r="F248" s="5" t="s">
        <v>676</v>
      </c>
      <c r="G248" s="5"/>
      <c r="H248" s="19"/>
      <c r="I248" s="15" t="s">
        <v>93</v>
      </c>
      <c r="J248" s="5"/>
    </row>
    <row r="249" spans="1:10" x14ac:dyDescent="0.25">
      <c r="A249" s="19" t="s">
        <v>188</v>
      </c>
      <c r="B249" s="5" t="s">
        <v>189</v>
      </c>
      <c r="C249" s="15">
        <v>27</v>
      </c>
      <c r="D249" s="16" t="s">
        <v>677</v>
      </c>
      <c r="E249" s="19" t="s">
        <v>528</v>
      </c>
      <c r="F249" s="5" t="s">
        <v>678</v>
      </c>
      <c r="G249" s="5"/>
      <c r="H249" s="19"/>
      <c r="I249" s="15" t="s">
        <v>93</v>
      </c>
      <c r="J249" s="5"/>
    </row>
    <row r="250" spans="1:10" x14ac:dyDescent="0.25">
      <c r="A250" s="19" t="s">
        <v>188</v>
      </c>
      <c r="B250" s="5" t="s">
        <v>189</v>
      </c>
      <c r="C250" s="15">
        <v>28</v>
      </c>
      <c r="D250" s="16" t="s">
        <v>679</v>
      </c>
      <c r="E250" s="19" t="s">
        <v>528</v>
      </c>
      <c r="F250" s="5" t="s">
        <v>680</v>
      </c>
      <c r="G250" s="5"/>
      <c r="H250" s="19"/>
      <c r="I250" s="15" t="s">
        <v>93</v>
      </c>
      <c r="J250" s="5"/>
    </row>
    <row r="251" spans="1:10" x14ac:dyDescent="0.25">
      <c r="A251" s="19" t="s">
        <v>188</v>
      </c>
      <c r="B251" s="5" t="s">
        <v>189</v>
      </c>
      <c r="C251" s="15">
        <v>29</v>
      </c>
      <c r="D251" s="16" t="s">
        <v>681</v>
      </c>
      <c r="E251" s="19" t="s">
        <v>367</v>
      </c>
      <c r="F251" s="5" t="s">
        <v>682</v>
      </c>
      <c r="G251" s="5"/>
      <c r="H251" s="19"/>
      <c r="I251" s="15" t="s">
        <v>418</v>
      </c>
      <c r="J251" s="5"/>
    </row>
    <row r="252" spans="1:10" x14ac:dyDescent="0.25">
      <c r="A252" s="19" t="s">
        <v>193</v>
      </c>
      <c r="B252" s="5" t="s">
        <v>194</v>
      </c>
      <c r="C252" s="15">
        <v>1</v>
      </c>
      <c r="D252" s="16" t="s">
        <v>336</v>
      </c>
      <c r="E252" s="19" t="s">
        <v>337</v>
      </c>
      <c r="F252" s="5" t="s">
        <v>338</v>
      </c>
      <c r="G252" s="5"/>
      <c r="H252" s="19" t="s">
        <v>339</v>
      </c>
      <c r="I252" s="15" t="s">
        <v>93</v>
      </c>
      <c r="J252" s="5"/>
    </row>
    <row r="253" spans="1:10" x14ac:dyDescent="0.25">
      <c r="A253" s="19" t="s">
        <v>193</v>
      </c>
      <c r="B253" s="5" t="s">
        <v>194</v>
      </c>
      <c r="C253" s="15">
        <v>2</v>
      </c>
      <c r="D253" s="16" t="s">
        <v>169</v>
      </c>
      <c r="E253" s="19" t="s">
        <v>371</v>
      </c>
      <c r="F253" s="5" t="s">
        <v>67</v>
      </c>
      <c r="G253" s="5"/>
      <c r="H253" s="19"/>
      <c r="I253" s="15" t="s">
        <v>93</v>
      </c>
      <c r="J253" s="5"/>
    </row>
    <row r="254" spans="1:10" x14ac:dyDescent="0.25">
      <c r="A254" s="19" t="s">
        <v>193</v>
      </c>
      <c r="B254" s="5" t="s">
        <v>194</v>
      </c>
      <c r="C254" s="15">
        <v>3</v>
      </c>
      <c r="D254" s="16" t="s">
        <v>683</v>
      </c>
      <c r="E254" s="19" t="s">
        <v>422</v>
      </c>
      <c r="F254" s="5" t="s">
        <v>684</v>
      </c>
      <c r="G254" s="5"/>
      <c r="H254" s="19"/>
      <c r="I254" s="15" t="s">
        <v>93</v>
      </c>
      <c r="J254" s="7" t="s">
        <v>567</v>
      </c>
    </row>
    <row r="255" spans="1:10" x14ac:dyDescent="0.25">
      <c r="A255" s="19" t="s">
        <v>193</v>
      </c>
      <c r="B255" s="5" t="s">
        <v>194</v>
      </c>
      <c r="C255" s="15">
        <v>4</v>
      </c>
      <c r="D255" s="16" t="s">
        <v>563</v>
      </c>
      <c r="E255" s="19" t="s">
        <v>422</v>
      </c>
      <c r="F255" s="5" t="s">
        <v>685</v>
      </c>
      <c r="G255" s="5"/>
      <c r="H255" s="19"/>
      <c r="I255" s="15" t="s">
        <v>93</v>
      </c>
      <c r="J255" s="7" t="s">
        <v>686</v>
      </c>
    </row>
    <row r="256" spans="1:10" x14ac:dyDescent="0.25">
      <c r="A256" s="19" t="s">
        <v>193</v>
      </c>
      <c r="B256" s="5" t="s">
        <v>194</v>
      </c>
      <c r="C256" s="15">
        <v>5</v>
      </c>
      <c r="D256" s="16" t="s">
        <v>687</v>
      </c>
      <c r="E256" s="19" t="s">
        <v>578</v>
      </c>
      <c r="F256" s="5" t="s">
        <v>688</v>
      </c>
      <c r="G256" s="5" t="s">
        <v>689</v>
      </c>
      <c r="H256" s="19"/>
      <c r="I256" s="15" t="s">
        <v>93</v>
      </c>
      <c r="J256" s="5"/>
    </row>
    <row r="257" spans="1:10" x14ac:dyDescent="0.25">
      <c r="A257" s="19" t="s">
        <v>193</v>
      </c>
      <c r="B257" s="5" t="s">
        <v>194</v>
      </c>
      <c r="C257" s="15">
        <v>6</v>
      </c>
      <c r="D257" s="16" t="s">
        <v>690</v>
      </c>
      <c r="E257" s="19" t="s">
        <v>528</v>
      </c>
      <c r="F257" s="5" t="s">
        <v>569</v>
      </c>
      <c r="G257" s="5"/>
      <c r="H257" s="19"/>
      <c r="I257" s="15" t="s">
        <v>93</v>
      </c>
      <c r="J257" s="5"/>
    </row>
    <row r="258" spans="1:10" x14ac:dyDescent="0.25">
      <c r="A258" s="19" t="s">
        <v>193</v>
      </c>
      <c r="B258" s="5" t="s">
        <v>194</v>
      </c>
      <c r="C258" s="15">
        <v>7</v>
      </c>
      <c r="D258" s="16" t="s">
        <v>691</v>
      </c>
      <c r="E258" s="19" t="s">
        <v>446</v>
      </c>
      <c r="F258" s="5" t="s">
        <v>692</v>
      </c>
      <c r="G258" s="5"/>
      <c r="H258" s="19"/>
      <c r="I258" s="15" t="s">
        <v>93</v>
      </c>
      <c r="J258" s="5"/>
    </row>
    <row r="259" spans="1:10" x14ac:dyDescent="0.25">
      <c r="A259" s="19" t="s">
        <v>193</v>
      </c>
      <c r="B259" s="5" t="s">
        <v>194</v>
      </c>
      <c r="C259" s="15">
        <v>8</v>
      </c>
      <c r="D259" s="16" t="s">
        <v>693</v>
      </c>
      <c r="E259" s="19" t="s">
        <v>412</v>
      </c>
      <c r="F259" s="5" t="s">
        <v>694</v>
      </c>
      <c r="G259" s="5"/>
      <c r="H259" s="19"/>
      <c r="I259" s="15" t="s">
        <v>93</v>
      </c>
      <c r="J259" s="7" t="s">
        <v>695</v>
      </c>
    </row>
    <row r="260" spans="1:10" x14ac:dyDescent="0.25">
      <c r="A260" s="19" t="s">
        <v>193</v>
      </c>
      <c r="B260" s="5" t="s">
        <v>194</v>
      </c>
      <c r="C260" s="15">
        <v>9</v>
      </c>
      <c r="D260" s="16" t="s">
        <v>696</v>
      </c>
      <c r="E260" s="19" t="s">
        <v>376</v>
      </c>
      <c r="F260" s="5" t="s">
        <v>697</v>
      </c>
      <c r="G260" s="5"/>
      <c r="H260" s="19"/>
      <c r="I260" s="15" t="s">
        <v>93</v>
      </c>
      <c r="J260" s="7" t="s">
        <v>695</v>
      </c>
    </row>
    <row r="261" spans="1:10" x14ac:dyDescent="0.25">
      <c r="A261" s="19" t="s">
        <v>193</v>
      </c>
      <c r="B261" s="5" t="s">
        <v>194</v>
      </c>
      <c r="C261" s="15">
        <v>10</v>
      </c>
      <c r="D261" s="16" t="s">
        <v>698</v>
      </c>
      <c r="E261" s="19" t="s">
        <v>422</v>
      </c>
      <c r="F261" s="5" t="s">
        <v>699</v>
      </c>
      <c r="G261" s="5"/>
      <c r="H261" s="19"/>
      <c r="I261" s="15" t="s">
        <v>93</v>
      </c>
      <c r="J261" s="5"/>
    </row>
    <row r="262" spans="1:10" x14ac:dyDescent="0.25">
      <c r="A262" s="19" t="s">
        <v>197</v>
      </c>
      <c r="B262" s="5" t="s">
        <v>198</v>
      </c>
      <c r="C262" s="15">
        <v>1</v>
      </c>
      <c r="D262" s="16" t="s">
        <v>336</v>
      </c>
      <c r="E262" s="19" t="s">
        <v>337</v>
      </c>
      <c r="F262" s="5" t="s">
        <v>338</v>
      </c>
      <c r="G262" s="5"/>
      <c r="H262" s="19" t="s">
        <v>339</v>
      </c>
      <c r="I262" s="15" t="s">
        <v>93</v>
      </c>
      <c r="J262" s="5"/>
    </row>
    <row r="263" spans="1:10" x14ac:dyDescent="0.25">
      <c r="A263" s="19" t="s">
        <v>197</v>
      </c>
      <c r="B263" s="5" t="s">
        <v>198</v>
      </c>
      <c r="C263" s="15">
        <v>2</v>
      </c>
      <c r="D263" s="16" t="s">
        <v>683</v>
      </c>
      <c r="E263" s="19" t="s">
        <v>422</v>
      </c>
      <c r="F263" s="5" t="s">
        <v>700</v>
      </c>
      <c r="G263" s="5"/>
      <c r="H263" s="19" t="s">
        <v>341</v>
      </c>
      <c r="I263" s="15" t="s">
        <v>93</v>
      </c>
      <c r="J263" s="7" t="s">
        <v>567</v>
      </c>
    </row>
    <row r="264" spans="1:10" x14ac:dyDescent="0.25">
      <c r="A264" s="19" t="s">
        <v>197</v>
      </c>
      <c r="B264" s="5" t="s">
        <v>198</v>
      </c>
      <c r="C264" s="15">
        <v>3</v>
      </c>
      <c r="D264" s="16" t="s">
        <v>563</v>
      </c>
      <c r="E264" s="19" t="s">
        <v>422</v>
      </c>
      <c r="F264" s="5" t="s">
        <v>701</v>
      </c>
      <c r="G264" s="5"/>
      <c r="H264" s="19"/>
      <c r="I264" s="15" t="s">
        <v>93</v>
      </c>
      <c r="J264" s="7" t="s">
        <v>686</v>
      </c>
    </row>
    <row r="265" spans="1:10" x14ac:dyDescent="0.25">
      <c r="A265" s="19" t="s">
        <v>197</v>
      </c>
      <c r="B265" s="5" t="s">
        <v>198</v>
      </c>
      <c r="C265" s="15">
        <v>4</v>
      </c>
      <c r="D265" s="16" t="s">
        <v>691</v>
      </c>
      <c r="E265" s="19" t="s">
        <v>446</v>
      </c>
      <c r="F265" s="5" t="s">
        <v>692</v>
      </c>
      <c r="G265" s="5"/>
      <c r="H265" s="19"/>
      <c r="I265" s="15" t="s">
        <v>93</v>
      </c>
      <c r="J265" s="5"/>
    </row>
    <row r="266" spans="1:10" x14ac:dyDescent="0.25">
      <c r="A266" s="19" t="s">
        <v>197</v>
      </c>
      <c r="B266" s="5" t="s">
        <v>198</v>
      </c>
      <c r="C266" s="15">
        <v>5</v>
      </c>
      <c r="D266" s="16" t="s">
        <v>702</v>
      </c>
      <c r="E266" s="19" t="s">
        <v>578</v>
      </c>
      <c r="F266" s="5" t="s">
        <v>703</v>
      </c>
      <c r="G266" s="5"/>
      <c r="H266" s="19"/>
      <c r="I266" s="15" t="s">
        <v>93</v>
      </c>
      <c r="J266" s="5"/>
    </row>
    <row r="267" spans="1:10" x14ac:dyDescent="0.25">
      <c r="A267" s="19" t="s">
        <v>197</v>
      </c>
      <c r="B267" s="5" t="s">
        <v>198</v>
      </c>
      <c r="C267" s="15">
        <v>6</v>
      </c>
      <c r="D267" s="16" t="s">
        <v>201</v>
      </c>
      <c r="E267" s="19" t="s">
        <v>371</v>
      </c>
      <c r="F267" s="5" t="s">
        <v>704</v>
      </c>
      <c r="G267" s="5"/>
      <c r="H267" s="19"/>
      <c r="I267" s="15" t="s">
        <v>93</v>
      </c>
      <c r="J267" s="5"/>
    </row>
    <row r="268" spans="1:10" x14ac:dyDescent="0.25">
      <c r="A268" s="19" t="s">
        <v>203</v>
      </c>
      <c r="B268" s="5" t="s">
        <v>204</v>
      </c>
      <c r="C268" s="15">
        <v>1</v>
      </c>
      <c r="D268" s="16" t="s">
        <v>336</v>
      </c>
      <c r="E268" s="19" t="s">
        <v>337</v>
      </c>
      <c r="F268" s="5" t="s">
        <v>338</v>
      </c>
      <c r="G268" s="5"/>
      <c r="H268" s="19" t="s">
        <v>339</v>
      </c>
      <c r="I268" s="15" t="s">
        <v>93</v>
      </c>
      <c r="J268" s="5"/>
    </row>
    <row r="269" spans="1:10" ht="132" x14ac:dyDescent="0.25">
      <c r="A269" s="19" t="s">
        <v>203</v>
      </c>
      <c r="B269" s="5" t="s">
        <v>204</v>
      </c>
      <c r="C269" s="15">
        <v>2</v>
      </c>
      <c r="D269" s="16" t="s">
        <v>642</v>
      </c>
      <c r="E269" s="19" t="s">
        <v>578</v>
      </c>
      <c r="F269" s="5" t="s">
        <v>643</v>
      </c>
      <c r="G269" s="5" t="s">
        <v>644</v>
      </c>
      <c r="H269" s="19"/>
      <c r="I269" s="15" t="s">
        <v>93</v>
      </c>
      <c r="J269" s="5"/>
    </row>
    <row r="270" spans="1:10" x14ac:dyDescent="0.25">
      <c r="A270" s="19" t="s">
        <v>203</v>
      </c>
      <c r="B270" s="5" t="s">
        <v>204</v>
      </c>
      <c r="C270" s="15">
        <v>3</v>
      </c>
      <c r="D270" s="16" t="s">
        <v>705</v>
      </c>
      <c r="E270" s="19" t="s">
        <v>502</v>
      </c>
      <c r="F270" s="5" t="s">
        <v>706</v>
      </c>
      <c r="G270" s="5"/>
      <c r="H270" s="19"/>
      <c r="I270" s="15" t="s">
        <v>93</v>
      </c>
      <c r="J270" s="7" t="s">
        <v>686</v>
      </c>
    </row>
    <row r="271" spans="1:10" x14ac:dyDescent="0.25">
      <c r="A271" s="19" t="s">
        <v>203</v>
      </c>
      <c r="B271" s="5" t="s">
        <v>204</v>
      </c>
      <c r="C271" s="15">
        <v>4</v>
      </c>
      <c r="D271" s="16" t="s">
        <v>707</v>
      </c>
      <c r="E271" s="19" t="s">
        <v>412</v>
      </c>
      <c r="F271" s="5" t="s">
        <v>708</v>
      </c>
      <c r="G271" s="5"/>
      <c r="H271" s="19"/>
      <c r="I271" s="15" t="s">
        <v>93</v>
      </c>
      <c r="J271" s="7" t="s">
        <v>567</v>
      </c>
    </row>
    <row r="272" spans="1:10" x14ac:dyDescent="0.25">
      <c r="A272" s="19" t="s">
        <v>203</v>
      </c>
      <c r="B272" s="5" t="s">
        <v>204</v>
      </c>
      <c r="C272" s="15">
        <v>5</v>
      </c>
      <c r="D272" s="16" t="s">
        <v>661</v>
      </c>
      <c r="E272" s="19" t="s">
        <v>659</v>
      </c>
      <c r="F272" s="5" t="s">
        <v>709</v>
      </c>
      <c r="G272" s="5"/>
      <c r="H272" s="19"/>
      <c r="I272" s="15" t="s">
        <v>418</v>
      </c>
      <c r="J272" s="5"/>
    </row>
    <row r="273" spans="1:10" x14ac:dyDescent="0.25">
      <c r="A273" s="19" t="s">
        <v>203</v>
      </c>
      <c r="B273" s="5" t="s">
        <v>204</v>
      </c>
      <c r="C273" s="15">
        <v>6</v>
      </c>
      <c r="D273" s="16" t="s">
        <v>663</v>
      </c>
      <c r="E273" s="19" t="s">
        <v>486</v>
      </c>
      <c r="F273" s="5" t="s">
        <v>85</v>
      </c>
      <c r="G273" s="5"/>
      <c r="H273" s="19"/>
      <c r="I273" s="15" t="s">
        <v>93</v>
      </c>
      <c r="J273" s="5"/>
    </row>
    <row r="274" spans="1:10" x14ac:dyDescent="0.25">
      <c r="A274" s="19" t="s">
        <v>203</v>
      </c>
      <c r="B274" s="5" t="s">
        <v>204</v>
      </c>
      <c r="C274" s="15">
        <v>7</v>
      </c>
      <c r="D274" s="16" t="s">
        <v>169</v>
      </c>
      <c r="E274" s="19" t="s">
        <v>371</v>
      </c>
      <c r="F274" s="5" t="s">
        <v>67</v>
      </c>
      <c r="G274" s="5"/>
      <c r="H274" s="19"/>
      <c r="I274" s="15" t="s">
        <v>93</v>
      </c>
      <c r="J274" s="5"/>
    </row>
    <row r="275" spans="1:10" x14ac:dyDescent="0.25">
      <c r="A275" s="19" t="s">
        <v>203</v>
      </c>
      <c r="B275" s="5" t="s">
        <v>204</v>
      </c>
      <c r="C275" s="15">
        <v>8</v>
      </c>
      <c r="D275" s="16" t="s">
        <v>710</v>
      </c>
      <c r="E275" s="19" t="s">
        <v>624</v>
      </c>
      <c r="F275" s="5" t="s">
        <v>711</v>
      </c>
      <c r="G275" s="5"/>
      <c r="H275" s="19" t="s">
        <v>712</v>
      </c>
      <c r="I275" s="15" t="s">
        <v>93</v>
      </c>
      <c r="J275" s="5"/>
    </row>
    <row r="276" spans="1:10" x14ac:dyDescent="0.25">
      <c r="A276" s="19" t="s">
        <v>203</v>
      </c>
      <c r="B276" s="5" t="s">
        <v>204</v>
      </c>
      <c r="C276" s="15">
        <v>9</v>
      </c>
      <c r="D276" s="16" t="s">
        <v>713</v>
      </c>
      <c r="E276" s="19" t="s">
        <v>388</v>
      </c>
      <c r="F276" s="5" t="s">
        <v>714</v>
      </c>
      <c r="G276" s="5"/>
      <c r="H276" s="19"/>
      <c r="I276" s="15" t="s">
        <v>93</v>
      </c>
      <c r="J276" s="5"/>
    </row>
    <row r="277" spans="1:10" x14ac:dyDescent="0.25">
      <c r="A277" s="19" t="s">
        <v>208</v>
      </c>
      <c r="B277" s="5" t="s">
        <v>209</v>
      </c>
      <c r="C277" s="15">
        <v>1</v>
      </c>
      <c r="D277" s="16" t="s">
        <v>336</v>
      </c>
      <c r="E277" s="19" t="s">
        <v>337</v>
      </c>
      <c r="F277" s="5" t="s">
        <v>338</v>
      </c>
      <c r="G277" s="5"/>
      <c r="H277" s="19" t="s">
        <v>339</v>
      </c>
      <c r="I277" s="15" t="s">
        <v>93</v>
      </c>
      <c r="J277" s="5"/>
    </row>
    <row r="278" spans="1:10" x14ac:dyDescent="0.25">
      <c r="A278" s="19" t="s">
        <v>208</v>
      </c>
      <c r="B278" s="5" t="s">
        <v>209</v>
      </c>
      <c r="C278" s="15">
        <v>2</v>
      </c>
      <c r="D278" s="16" t="s">
        <v>715</v>
      </c>
      <c r="E278" s="19" t="s">
        <v>412</v>
      </c>
      <c r="F278" s="5" t="s">
        <v>716</v>
      </c>
      <c r="G278" s="5"/>
      <c r="H278" s="19" t="s">
        <v>341</v>
      </c>
      <c r="I278" s="15" t="s">
        <v>93</v>
      </c>
      <c r="J278" s="7" t="s">
        <v>567</v>
      </c>
    </row>
    <row r="279" spans="1:10" x14ac:dyDescent="0.25">
      <c r="A279" s="19" t="s">
        <v>208</v>
      </c>
      <c r="B279" s="5" t="s">
        <v>209</v>
      </c>
      <c r="C279" s="15">
        <v>3</v>
      </c>
      <c r="D279" s="16" t="s">
        <v>477</v>
      </c>
      <c r="E279" s="19" t="s">
        <v>456</v>
      </c>
      <c r="F279" s="5" t="s">
        <v>701</v>
      </c>
      <c r="G279" s="5"/>
      <c r="H279" s="19"/>
      <c r="I279" s="15" t="s">
        <v>93</v>
      </c>
      <c r="J279" s="7" t="s">
        <v>686</v>
      </c>
    </row>
    <row r="280" spans="1:10" x14ac:dyDescent="0.25">
      <c r="A280" s="19" t="s">
        <v>208</v>
      </c>
      <c r="B280" s="5" t="s">
        <v>209</v>
      </c>
      <c r="C280" s="15">
        <v>4</v>
      </c>
      <c r="D280" s="16" t="s">
        <v>211</v>
      </c>
      <c r="E280" s="19" t="s">
        <v>92</v>
      </c>
      <c r="F280" s="5" t="s">
        <v>717</v>
      </c>
      <c r="G280" s="5"/>
      <c r="H280" s="19" t="s">
        <v>341</v>
      </c>
      <c r="I280" s="15" t="s">
        <v>93</v>
      </c>
      <c r="J280" s="5"/>
    </row>
    <row r="281" spans="1:10" x14ac:dyDescent="0.25">
      <c r="A281" s="19" t="s">
        <v>208</v>
      </c>
      <c r="B281" s="5" t="s">
        <v>209</v>
      </c>
      <c r="C281" s="15">
        <v>5</v>
      </c>
      <c r="D281" s="16" t="s">
        <v>718</v>
      </c>
      <c r="E281" s="19" t="s">
        <v>371</v>
      </c>
      <c r="F281" s="5" t="s">
        <v>719</v>
      </c>
      <c r="G281" s="5"/>
      <c r="H281" s="19"/>
      <c r="I281" s="15" t="s">
        <v>418</v>
      </c>
      <c r="J281" s="5"/>
    </row>
    <row r="282" spans="1:10" x14ac:dyDescent="0.25">
      <c r="A282" s="19" t="s">
        <v>208</v>
      </c>
      <c r="B282" s="5" t="s">
        <v>209</v>
      </c>
      <c r="C282" s="15">
        <v>6</v>
      </c>
      <c r="D282" s="16" t="s">
        <v>720</v>
      </c>
      <c r="E282" s="19" t="s">
        <v>409</v>
      </c>
      <c r="F282" s="5" t="s">
        <v>721</v>
      </c>
      <c r="G282" s="5"/>
      <c r="H282" s="19"/>
      <c r="I282" s="15" t="s">
        <v>93</v>
      </c>
      <c r="J282" s="5"/>
    </row>
    <row r="283" spans="1:10" x14ac:dyDescent="0.25">
      <c r="A283" s="19" t="s">
        <v>208</v>
      </c>
      <c r="B283" s="5" t="s">
        <v>209</v>
      </c>
      <c r="C283" s="15">
        <v>7</v>
      </c>
      <c r="D283" s="16" t="s">
        <v>722</v>
      </c>
      <c r="E283" s="19" t="s">
        <v>444</v>
      </c>
      <c r="F283" s="5" t="s">
        <v>723</v>
      </c>
      <c r="G283" s="5"/>
      <c r="H283" s="19"/>
      <c r="I283" s="15" t="s">
        <v>93</v>
      </c>
      <c r="J283" s="5"/>
    </row>
    <row r="284" spans="1:10" ht="26.4" x14ac:dyDescent="0.25">
      <c r="A284" s="19" t="s">
        <v>208</v>
      </c>
      <c r="B284" s="5" t="s">
        <v>209</v>
      </c>
      <c r="C284" s="15">
        <v>8</v>
      </c>
      <c r="D284" s="16" t="s">
        <v>495</v>
      </c>
      <c r="E284" s="19" t="s">
        <v>496</v>
      </c>
      <c r="F284" s="5" t="s">
        <v>497</v>
      </c>
      <c r="G284" s="5" t="s">
        <v>724</v>
      </c>
      <c r="H284" s="19"/>
      <c r="I284" s="15" t="s">
        <v>93</v>
      </c>
      <c r="J284" s="5"/>
    </row>
    <row r="285" spans="1:10" x14ac:dyDescent="0.25">
      <c r="A285" s="19" t="s">
        <v>208</v>
      </c>
      <c r="B285" s="5" t="s">
        <v>209</v>
      </c>
      <c r="C285" s="15">
        <v>9</v>
      </c>
      <c r="D285" s="16" t="s">
        <v>698</v>
      </c>
      <c r="E285" s="19" t="s">
        <v>422</v>
      </c>
      <c r="F285" s="5" t="s">
        <v>725</v>
      </c>
      <c r="G285" s="5"/>
      <c r="H285" s="19"/>
      <c r="I285" s="15" t="s">
        <v>93</v>
      </c>
      <c r="J285" s="5"/>
    </row>
    <row r="286" spans="1:10" x14ac:dyDescent="0.25">
      <c r="A286" s="19" t="s">
        <v>208</v>
      </c>
      <c r="B286" s="5" t="s">
        <v>209</v>
      </c>
      <c r="C286" s="15">
        <v>10</v>
      </c>
      <c r="D286" s="16" t="s">
        <v>726</v>
      </c>
      <c r="E286" s="19" t="s">
        <v>444</v>
      </c>
      <c r="F286" s="5" t="s">
        <v>727</v>
      </c>
      <c r="G286" s="5"/>
      <c r="H286" s="19"/>
      <c r="I286" s="15" t="s">
        <v>93</v>
      </c>
      <c r="J286" s="5"/>
    </row>
    <row r="287" spans="1:10" x14ac:dyDescent="0.25">
      <c r="A287" s="19" t="s">
        <v>208</v>
      </c>
      <c r="B287" s="5" t="s">
        <v>209</v>
      </c>
      <c r="C287" s="15">
        <v>11</v>
      </c>
      <c r="D287" s="16" t="s">
        <v>728</v>
      </c>
      <c r="E287" s="19" t="s">
        <v>376</v>
      </c>
      <c r="F287" s="5" t="s">
        <v>729</v>
      </c>
      <c r="G287" s="5"/>
      <c r="H287" s="19"/>
      <c r="I287" s="15" t="s">
        <v>93</v>
      </c>
      <c r="J287" s="7" t="s">
        <v>730</v>
      </c>
    </row>
    <row r="288" spans="1:10" x14ac:dyDescent="0.25">
      <c r="A288" s="19" t="s">
        <v>208</v>
      </c>
      <c r="B288" s="5" t="s">
        <v>209</v>
      </c>
      <c r="C288" s="15">
        <v>12</v>
      </c>
      <c r="D288" s="16" t="s">
        <v>731</v>
      </c>
      <c r="E288" s="19" t="s">
        <v>502</v>
      </c>
      <c r="F288" s="5" t="s">
        <v>732</v>
      </c>
      <c r="G288" s="5"/>
      <c r="H288" s="19"/>
      <c r="I288" s="15" t="s">
        <v>93</v>
      </c>
      <c r="J288" s="7" t="s">
        <v>730</v>
      </c>
    </row>
    <row r="289" spans="1:10" x14ac:dyDescent="0.25">
      <c r="A289" s="19" t="s">
        <v>208</v>
      </c>
      <c r="B289" s="5" t="s">
        <v>209</v>
      </c>
      <c r="C289" s="15">
        <v>13</v>
      </c>
      <c r="D289" s="16" t="s">
        <v>663</v>
      </c>
      <c r="E289" s="19" t="s">
        <v>422</v>
      </c>
      <c r="F289" s="5" t="s">
        <v>85</v>
      </c>
      <c r="G289" s="5"/>
      <c r="H289" s="19"/>
      <c r="I289" s="15" t="s">
        <v>93</v>
      </c>
      <c r="J289" s="7" t="s">
        <v>733</v>
      </c>
    </row>
    <row r="290" spans="1:10" ht="26.4" x14ac:dyDescent="0.25">
      <c r="A290" s="19" t="s">
        <v>208</v>
      </c>
      <c r="B290" s="5" t="s">
        <v>209</v>
      </c>
      <c r="C290" s="15">
        <v>14</v>
      </c>
      <c r="D290" s="16" t="s">
        <v>533</v>
      </c>
      <c r="E290" s="19" t="s">
        <v>388</v>
      </c>
      <c r="F290" s="5" t="s">
        <v>734</v>
      </c>
      <c r="G290" s="5"/>
      <c r="H290" s="19"/>
      <c r="I290" s="15" t="s">
        <v>93</v>
      </c>
      <c r="J290" s="7" t="s">
        <v>532</v>
      </c>
    </row>
    <row r="291" spans="1:10" x14ac:dyDescent="0.25">
      <c r="A291" s="19" t="s">
        <v>208</v>
      </c>
      <c r="B291" s="5" t="s">
        <v>209</v>
      </c>
      <c r="C291" s="15">
        <v>15</v>
      </c>
      <c r="D291" s="16" t="s">
        <v>169</v>
      </c>
      <c r="E291" s="19" t="s">
        <v>371</v>
      </c>
      <c r="F291" s="5" t="s">
        <v>600</v>
      </c>
      <c r="G291" s="5"/>
      <c r="H291" s="19"/>
      <c r="I291" s="15" t="s">
        <v>93</v>
      </c>
      <c r="J291" s="5"/>
    </row>
    <row r="292" spans="1:10" x14ac:dyDescent="0.25">
      <c r="A292" s="19" t="s">
        <v>208</v>
      </c>
      <c r="B292" s="5" t="s">
        <v>209</v>
      </c>
      <c r="C292" s="15">
        <v>16</v>
      </c>
      <c r="D292" s="16" t="s">
        <v>174</v>
      </c>
      <c r="E292" s="19" t="s">
        <v>371</v>
      </c>
      <c r="F292" s="5" t="s">
        <v>588</v>
      </c>
      <c r="G292" s="5"/>
      <c r="H292" s="19"/>
      <c r="I292" s="15" t="s">
        <v>93</v>
      </c>
      <c r="J292" s="5"/>
    </row>
    <row r="293" spans="1:10" x14ac:dyDescent="0.25">
      <c r="A293" s="19" t="s">
        <v>208</v>
      </c>
      <c r="B293" s="5" t="s">
        <v>209</v>
      </c>
      <c r="C293" s="15">
        <v>17</v>
      </c>
      <c r="D293" s="16" t="s">
        <v>735</v>
      </c>
      <c r="E293" s="19" t="s">
        <v>337</v>
      </c>
      <c r="F293" s="5" t="s">
        <v>736</v>
      </c>
      <c r="G293" s="5"/>
      <c r="H293" s="19" t="s">
        <v>737</v>
      </c>
      <c r="I293" s="15" t="s">
        <v>418</v>
      </c>
      <c r="J293" s="5"/>
    </row>
    <row r="294" spans="1:10" x14ac:dyDescent="0.25">
      <c r="A294" s="19" t="s">
        <v>213</v>
      </c>
      <c r="B294" s="5" t="s">
        <v>214</v>
      </c>
      <c r="C294" s="15">
        <v>1</v>
      </c>
      <c r="D294" s="16" t="s">
        <v>336</v>
      </c>
      <c r="E294" s="19" t="s">
        <v>337</v>
      </c>
      <c r="F294" s="5" t="s">
        <v>338</v>
      </c>
      <c r="G294" s="5"/>
      <c r="H294" s="19" t="s">
        <v>339</v>
      </c>
      <c r="I294" s="15" t="s">
        <v>93</v>
      </c>
      <c r="J294" s="5"/>
    </row>
    <row r="295" spans="1:10" x14ac:dyDescent="0.25">
      <c r="A295" s="19" t="s">
        <v>213</v>
      </c>
      <c r="B295" s="5" t="s">
        <v>214</v>
      </c>
      <c r="C295" s="15">
        <v>2</v>
      </c>
      <c r="D295" s="16" t="s">
        <v>738</v>
      </c>
      <c r="E295" s="19" t="s">
        <v>502</v>
      </c>
      <c r="F295" s="5" t="s">
        <v>739</v>
      </c>
      <c r="G295" s="5"/>
      <c r="H295" s="19" t="s">
        <v>341</v>
      </c>
      <c r="I295" s="15" t="s">
        <v>93</v>
      </c>
      <c r="J295" s="7" t="s">
        <v>686</v>
      </c>
    </row>
    <row r="296" spans="1:10" x14ac:dyDescent="0.25">
      <c r="A296" s="19" t="s">
        <v>213</v>
      </c>
      <c r="B296" s="5" t="s">
        <v>214</v>
      </c>
      <c r="C296" s="15">
        <v>3</v>
      </c>
      <c r="D296" s="16" t="s">
        <v>477</v>
      </c>
      <c r="E296" s="19" t="s">
        <v>456</v>
      </c>
      <c r="F296" s="5" t="s">
        <v>740</v>
      </c>
      <c r="G296" s="5"/>
      <c r="H296" s="19"/>
      <c r="I296" s="15" t="s">
        <v>93</v>
      </c>
      <c r="J296" s="7" t="s">
        <v>686</v>
      </c>
    </row>
    <row r="297" spans="1:10" x14ac:dyDescent="0.25">
      <c r="A297" s="19" t="s">
        <v>213</v>
      </c>
      <c r="B297" s="5" t="s">
        <v>214</v>
      </c>
      <c r="C297" s="15">
        <v>4</v>
      </c>
      <c r="D297" s="16" t="s">
        <v>741</v>
      </c>
      <c r="E297" s="19" t="s">
        <v>502</v>
      </c>
      <c r="F297" s="5" t="s">
        <v>742</v>
      </c>
      <c r="G297" s="5"/>
      <c r="H297" s="19"/>
      <c r="I297" s="15" t="s">
        <v>93</v>
      </c>
      <c r="J297" s="5"/>
    </row>
    <row r="298" spans="1:10" x14ac:dyDescent="0.25">
      <c r="A298" s="19" t="s">
        <v>213</v>
      </c>
      <c r="B298" s="5" t="s">
        <v>214</v>
      </c>
      <c r="C298" s="15">
        <v>5</v>
      </c>
      <c r="D298" s="16" t="s">
        <v>722</v>
      </c>
      <c r="E298" s="19" t="s">
        <v>444</v>
      </c>
      <c r="F298" s="5" t="s">
        <v>743</v>
      </c>
      <c r="G298" s="5"/>
      <c r="H298" s="19"/>
      <c r="I298" s="15" t="s">
        <v>93</v>
      </c>
      <c r="J298" s="5"/>
    </row>
    <row r="299" spans="1:10" x14ac:dyDescent="0.25">
      <c r="A299" s="19" t="s">
        <v>213</v>
      </c>
      <c r="B299" s="5" t="s">
        <v>214</v>
      </c>
      <c r="C299" s="15">
        <v>6</v>
      </c>
      <c r="D299" s="16" t="s">
        <v>744</v>
      </c>
      <c r="E299" s="19" t="s">
        <v>446</v>
      </c>
      <c r="F299" s="5" t="s">
        <v>745</v>
      </c>
      <c r="G299" s="5"/>
      <c r="H299" s="19"/>
      <c r="I299" s="15" t="s">
        <v>93</v>
      </c>
      <c r="J299" s="5"/>
    </row>
    <row r="300" spans="1:10" x14ac:dyDescent="0.25">
      <c r="A300" s="19" t="s">
        <v>213</v>
      </c>
      <c r="B300" s="5" t="s">
        <v>214</v>
      </c>
      <c r="C300" s="15">
        <v>7</v>
      </c>
      <c r="D300" s="16" t="s">
        <v>746</v>
      </c>
      <c r="E300" s="19" t="s">
        <v>412</v>
      </c>
      <c r="F300" s="5" t="s">
        <v>747</v>
      </c>
      <c r="G300" s="5"/>
      <c r="H300" s="19"/>
      <c r="I300" s="15" t="s">
        <v>93</v>
      </c>
      <c r="J300" s="5"/>
    </row>
    <row r="301" spans="1:10" x14ac:dyDescent="0.25">
      <c r="A301" s="19" t="s">
        <v>213</v>
      </c>
      <c r="B301" s="5" t="s">
        <v>214</v>
      </c>
      <c r="C301" s="15">
        <v>8</v>
      </c>
      <c r="D301" s="16" t="s">
        <v>622</v>
      </c>
      <c r="E301" s="19" t="s">
        <v>528</v>
      </c>
      <c r="F301" s="5" t="s">
        <v>748</v>
      </c>
      <c r="G301" s="5"/>
      <c r="H301" s="19"/>
      <c r="I301" s="15" t="s">
        <v>93</v>
      </c>
      <c r="J301" s="5"/>
    </row>
    <row r="302" spans="1:10" x14ac:dyDescent="0.25">
      <c r="A302" s="19" t="s">
        <v>213</v>
      </c>
      <c r="B302" s="5" t="s">
        <v>214</v>
      </c>
      <c r="C302" s="15">
        <v>9</v>
      </c>
      <c r="D302" s="16" t="s">
        <v>663</v>
      </c>
      <c r="E302" s="19" t="s">
        <v>422</v>
      </c>
      <c r="F302" s="5" t="s">
        <v>85</v>
      </c>
      <c r="G302" s="5"/>
      <c r="H302" s="19"/>
      <c r="I302" s="15" t="s">
        <v>93</v>
      </c>
      <c r="J302" s="7" t="s">
        <v>733</v>
      </c>
    </row>
    <row r="303" spans="1:10" ht="26.4" x14ac:dyDescent="0.25">
      <c r="A303" s="19" t="s">
        <v>213</v>
      </c>
      <c r="B303" s="5" t="s">
        <v>214</v>
      </c>
      <c r="C303" s="15">
        <v>10</v>
      </c>
      <c r="D303" s="16" t="s">
        <v>749</v>
      </c>
      <c r="E303" s="19" t="s">
        <v>409</v>
      </c>
      <c r="F303" s="5" t="s">
        <v>750</v>
      </c>
      <c r="G303" s="5" t="s">
        <v>751</v>
      </c>
      <c r="H303" s="19"/>
      <c r="I303" s="15" t="s">
        <v>93</v>
      </c>
      <c r="J303" s="5"/>
    </row>
    <row r="304" spans="1:10" x14ac:dyDescent="0.25">
      <c r="A304" s="19" t="s">
        <v>213</v>
      </c>
      <c r="B304" s="5" t="s">
        <v>214</v>
      </c>
      <c r="C304" s="15">
        <v>11</v>
      </c>
      <c r="D304" s="16" t="s">
        <v>169</v>
      </c>
      <c r="E304" s="19" t="s">
        <v>371</v>
      </c>
      <c r="F304" s="5" t="s">
        <v>600</v>
      </c>
      <c r="G304" s="5"/>
      <c r="H304" s="19"/>
      <c r="I304" s="15" t="s">
        <v>93</v>
      </c>
      <c r="J304" s="5"/>
    </row>
    <row r="305" spans="1:10" x14ac:dyDescent="0.25">
      <c r="A305" s="19" t="s">
        <v>213</v>
      </c>
      <c r="B305" s="5" t="s">
        <v>214</v>
      </c>
      <c r="C305" s="15">
        <v>12</v>
      </c>
      <c r="D305" s="16" t="s">
        <v>174</v>
      </c>
      <c r="E305" s="19" t="s">
        <v>371</v>
      </c>
      <c r="F305" s="5" t="s">
        <v>588</v>
      </c>
      <c r="G305" s="5"/>
      <c r="H305" s="19"/>
      <c r="I305" s="15" t="s">
        <v>93</v>
      </c>
      <c r="J305" s="5"/>
    </row>
    <row r="306" spans="1:10" x14ac:dyDescent="0.25">
      <c r="A306" s="19" t="s">
        <v>213</v>
      </c>
      <c r="B306" s="5" t="s">
        <v>214</v>
      </c>
      <c r="C306" s="15">
        <v>13</v>
      </c>
      <c r="D306" s="16" t="s">
        <v>752</v>
      </c>
      <c r="E306" s="19" t="s">
        <v>528</v>
      </c>
      <c r="F306" s="5" t="s">
        <v>753</v>
      </c>
      <c r="G306" s="5"/>
      <c r="H306" s="19"/>
      <c r="I306" s="15" t="s">
        <v>93</v>
      </c>
      <c r="J306" s="5"/>
    </row>
    <row r="307" spans="1:10" x14ac:dyDescent="0.25">
      <c r="A307" s="19" t="s">
        <v>213</v>
      </c>
      <c r="B307" s="5" t="s">
        <v>214</v>
      </c>
      <c r="C307" s="15">
        <v>14</v>
      </c>
      <c r="D307" s="16" t="s">
        <v>754</v>
      </c>
      <c r="E307" s="19" t="s">
        <v>528</v>
      </c>
      <c r="F307" s="5" t="s">
        <v>755</v>
      </c>
      <c r="G307" s="5"/>
      <c r="H307" s="19"/>
      <c r="I307" s="15" t="s">
        <v>93</v>
      </c>
      <c r="J307" s="5"/>
    </row>
    <row r="308" spans="1:10" x14ac:dyDescent="0.25">
      <c r="A308" s="19" t="s">
        <v>213</v>
      </c>
      <c r="B308" s="5" t="s">
        <v>214</v>
      </c>
      <c r="C308" s="15">
        <v>15</v>
      </c>
      <c r="D308" s="16" t="s">
        <v>756</v>
      </c>
      <c r="E308" s="19" t="s">
        <v>92</v>
      </c>
      <c r="F308" s="5" t="s">
        <v>757</v>
      </c>
      <c r="G308" s="5"/>
      <c r="H308" s="19"/>
      <c r="I308" s="15" t="s">
        <v>418</v>
      </c>
      <c r="J308" s="5"/>
    </row>
    <row r="309" spans="1:10" x14ac:dyDescent="0.25">
      <c r="A309" s="19" t="s">
        <v>213</v>
      </c>
      <c r="B309" s="5" t="s">
        <v>214</v>
      </c>
      <c r="C309" s="15">
        <v>16</v>
      </c>
      <c r="D309" s="16" t="s">
        <v>758</v>
      </c>
      <c r="E309" s="19" t="s">
        <v>528</v>
      </c>
      <c r="F309" s="5" t="s">
        <v>759</v>
      </c>
      <c r="G309" s="5"/>
      <c r="H309" s="19"/>
      <c r="I309" s="15" t="s">
        <v>93</v>
      </c>
      <c r="J309" s="5"/>
    </row>
    <row r="310" spans="1:10" x14ac:dyDescent="0.25">
      <c r="A310" s="19" t="s">
        <v>218</v>
      </c>
      <c r="B310" s="5" t="s">
        <v>219</v>
      </c>
      <c r="C310" s="15">
        <v>1</v>
      </c>
      <c r="D310" s="16" t="s">
        <v>336</v>
      </c>
      <c r="E310" s="19" t="s">
        <v>337</v>
      </c>
      <c r="F310" s="5" t="s">
        <v>338</v>
      </c>
      <c r="G310" s="5"/>
      <c r="H310" s="19" t="s">
        <v>339</v>
      </c>
      <c r="I310" s="15" t="s">
        <v>93</v>
      </c>
      <c r="J310" s="5"/>
    </row>
    <row r="311" spans="1:10" x14ac:dyDescent="0.25">
      <c r="A311" s="19" t="s">
        <v>218</v>
      </c>
      <c r="B311" s="5" t="s">
        <v>219</v>
      </c>
      <c r="C311" s="15">
        <v>2</v>
      </c>
      <c r="D311" s="16" t="s">
        <v>760</v>
      </c>
      <c r="E311" s="19" t="s">
        <v>638</v>
      </c>
      <c r="F311" s="5" t="s">
        <v>761</v>
      </c>
      <c r="G311" s="5"/>
      <c r="H311" s="19"/>
      <c r="I311" s="15" t="s">
        <v>93</v>
      </c>
      <c r="J311" s="5"/>
    </row>
    <row r="312" spans="1:10" x14ac:dyDescent="0.25">
      <c r="A312" s="19" t="s">
        <v>218</v>
      </c>
      <c r="B312" s="5" t="s">
        <v>219</v>
      </c>
      <c r="C312" s="15">
        <v>3</v>
      </c>
      <c r="D312" s="16" t="s">
        <v>762</v>
      </c>
      <c r="E312" s="19" t="s">
        <v>502</v>
      </c>
      <c r="F312" s="5" t="s">
        <v>763</v>
      </c>
      <c r="G312" s="5"/>
      <c r="H312" s="19"/>
      <c r="I312" s="15" t="s">
        <v>93</v>
      </c>
      <c r="J312" s="7" t="s">
        <v>686</v>
      </c>
    </row>
    <row r="313" spans="1:10" x14ac:dyDescent="0.25">
      <c r="A313" s="19" t="s">
        <v>218</v>
      </c>
      <c r="B313" s="5" t="s">
        <v>219</v>
      </c>
      <c r="C313" s="15">
        <v>4</v>
      </c>
      <c r="D313" s="16" t="s">
        <v>764</v>
      </c>
      <c r="E313" s="19" t="s">
        <v>412</v>
      </c>
      <c r="F313" s="5" t="s">
        <v>765</v>
      </c>
      <c r="G313" s="5"/>
      <c r="H313" s="19"/>
      <c r="I313" s="15" t="s">
        <v>93</v>
      </c>
      <c r="J313" s="7" t="s">
        <v>567</v>
      </c>
    </row>
    <row r="314" spans="1:10" x14ac:dyDescent="0.25">
      <c r="A314" s="19" t="s">
        <v>218</v>
      </c>
      <c r="B314" s="5" t="s">
        <v>219</v>
      </c>
      <c r="C314" s="15">
        <v>5</v>
      </c>
      <c r="D314" s="16" t="s">
        <v>766</v>
      </c>
      <c r="E314" s="19" t="s">
        <v>456</v>
      </c>
      <c r="F314" s="5" t="s">
        <v>767</v>
      </c>
      <c r="G314" s="5"/>
      <c r="H314" s="19"/>
      <c r="I314" s="15" t="s">
        <v>93</v>
      </c>
      <c r="J314" s="5"/>
    </row>
    <row r="315" spans="1:10" x14ac:dyDescent="0.25">
      <c r="A315" s="19" t="s">
        <v>218</v>
      </c>
      <c r="B315" s="5" t="s">
        <v>219</v>
      </c>
      <c r="C315" s="15">
        <v>6</v>
      </c>
      <c r="D315" s="16" t="s">
        <v>768</v>
      </c>
      <c r="E315" s="19" t="s">
        <v>456</v>
      </c>
      <c r="F315" s="5" t="s">
        <v>769</v>
      </c>
      <c r="G315" s="5"/>
      <c r="H315" s="19"/>
      <c r="I315" s="15" t="s">
        <v>93</v>
      </c>
      <c r="J315" s="5"/>
    </row>
    <row r="316" spans="1:10" x14ac:dyDescent="0.25">
      <c r="A316" s="19" t="s">
        <v>218</v>
      </c>
      <c r="B316" s="5" t="s">
        <v>219</v>
      </c>
      <c r="C316" s="15">
        <v>7</v>
      </c>
      <c r="D316" s="16" t="s">
        <v>222</v>
      </c>
      <c r="E316" s="19" t="s">
        <v>371</v>
      </c>
      <c r="F316" s="5" t="s">
        <v>770</v>
      </c>
      <c r="G316" s="5"/>
      <c r="H316" s="19"/>
      <c r="I316" s="15" t="s">
        <v>418</v>
      </c>
      <c r="J316" s="5"/>
    </row>
    <row r="317" spans="1:10" x14ac:dyDescent="0.25">
      <c r="A317" s="19" t="s">
        <v>218</v>
      </c>
      <c r="B317" s="5" t="s">
        <v>219</v>
      </c>
      <c r="C317" s="15">
        <v>8</v>
      </c>
      <c r="D317" s="16" t="s">
        <v>771</v>
      </c>
      <c r="E317" s="19" t="s">
        <v>371</v>
      </c>
      <c r="F317" s="5" t="s">
        <v>772</v>
      </c>
      <c r="G317" s="5"/>
      <c r="H317" s="19"/>
      <c r="I317" s="15" t="s">
        <v>418</v>
      </c>
      <c r="J317" s="5"/>
    </row>
    <row r="318" spans="1:10" x14ac:dyDescent="0.25">
      <c r="A318" s="19" t="s">
        <v>218</v>
      </c>
      <c r="B318" s="5" t="s">
        <v>219</v>
      </c>
      <c r="C318" s="15">
        <v>9</v>
      </c>
      <c r="D318" s="16" t="s">
        <v>773</v>
      </c>
      <c r="E318" s="19" t="s">
        <v>367</v>
      </c>
      <c r="F318" s="5" t="s">
        <v>774</v>
      </c>
      <c r="G318" s="5"/>
      <c r="H318" s="19"/>
      <c r="I318" s="15" t="s">
        <v>418</v>
      </c>
      <c r="J318" s="5"/>
    </row>
    <row r="319" spans="1:10" x14ac:dyDescent="0.25">
      <c r="A319" s="19" t="s">
        <v>218</v>
      </c>
      <c r="B319" s="5" t="s">
        <v>219</v>
      </c>
      <c r="C319" s="15">
        <v>10</v>
      </c>
      <c r="D319" s="16" t="s">
        <v>775</v>
      </c>
      <c r="E319" s="19" t="s">
        <v>367</v>
      </c>
      <c r="F319" s="5" t="s">
        <v>776</v>
      </c>
      <c r="G319" s="5"/>
      <c r="H319" s="19"/>
      <c r="I319" s="15" t="s">
        <v>418</v>
      </c>
      <c r="J319" s="5"/>
    </row>
    <row r="320" spans="1:10" ht="66" x14ac:dyDescent="0.25">
      <c r="A320" s="19" t="s">
        <v>218</v>
      </c>
      <c r="B320" s="5" t="s">
        <v>219</v>
      </c>
      <c r="C320" s="15">
        <v>11</v>
      </c>
      <c r="D320" s="16" t="s">
        <v>495</v>
      </c>
      <c r="E320" s="19" t="s">
        <v>578</v>
      </c>
      <c r="F320" s="5" t="s">
        <v>497</v>
      </c>
      <c r="G320" s="5" t="s">
        <v>777</v>
      </c>
      <c r="H320" s="19"/>
      <c r="I320" s="15" t="s">
        <v>93</v>
      </c>
      <c r="J320" s="5"/>
    </row>
    <row r="321" spans="1:10" x14ac:dyDescent="0.25">
      <c r="A321" s="19" t="s">
        <v>218</v>
      </c>
      <c r="B321" s="5" t="s">
        <v>219</v>
      </c>
      <c r="C321" s="15">
        <v>12</v>
      </c>
      <c r="D321" s="16" t="s">
        <v>778</v>
      </c>
      <c r="E321" s="19" t="s">
        <v>502</v>
      </c>
      <c r="F321" s="5" t="s">
        <v>779</v>
      </c>
      <c r="G321" s="5"/>
      <c r="H321" s="19"/>
      <c r="I321" s="15" t="s">
        <v>93</v>
      </c>
      <c r="J321" s="7" t="s">
        <v>686</v>
      </c>
    </row>
    <row r="322" spans="1:10" x14ac:dyDescent="0.25">
      <c r="A322" s="19" t="s">
        <v>218</v>
      </c>
      <c r="B322" s="5" t="s">
        <v>219</v>
      </c>
      <c r="C322" s="15">
        <v>13</v>
      </c>
      <c r="D322" s="16" t="s">
        <v>780</v>
      </c>
      <c r="E322" s="19" t="s">
        <v>528</v>
      </c>
      <c r="F322" s="5" t="s">
        <v>781</v>
      </c>
      <c r="G322" s="5"/>
      <c r="H322" s="19"/>
      <c r="I322" s="15" t="s">
        <v>93</v>
      </c>
      <c r="J322" s="5"/>
    </row>
    <row r="323" spans="1:10" x14ac:dyDescent="0.25">
      <c r="A323" s="19" t="s">
        <v>218</v>
      </c>
      <c r="B323" s="5" t="s">
        <v>219</v>
      </c>
      <c r="C323" s="15">
        <v>14</v>
      </c>
      <c r="D323" s="16" t="s">
        <v>663</v>
      </c>
      <c r="E323" s="19" t="s">
        <v>486</v>
      </c>
      <c r="F323" s="5" t="s">
        <v>85</v>
      </c>
      <c r="G323" s="5"/>
      <c r="H323" s="19"/>
      <c r="I323" s="15" t="s">
        <v>93</v>
      </c>
      <c r="J323" s="5"/>
    </row>
    <row r="324" spans="1:10" x14ac:dyDescent="0.25">
      <c r="A324" s="19" t="s">
        <v>218</v>
      </c>
      <c r="B324" s="5" t="s">
        <v>219</v>
      </c>
      <c r="C324" s="15">
        <v>15</v>
      </c>
      <c r="D324" s="16" t="s">
        <v>169</v>
      </c>
      <c r="E324" s="19" t="s">
        <v>371</v>
      </c>
      <c r="F324" s="5" t="s">
        <v>600</v>
      </c>
      <c r="G324" s="5"/>
      <c r="H324" s="19"/>
      <c r="I324" s="15" t="s">
        <v>93</v>
      </c>
      <c r="J324" s="5"/>
    </row>
    <row r="325" spans="1:10" x14ac:dyDescent="0.25">
      <c r="A325" s="19" t="s">
        <v>218</v>
      </c>
      <c r="B325" s="5" t="s">
        <v>219</v>
      </c>
      <c r="C325" s="15">
        <v>16</v>
      </c>
      <c r="D325" s="16" t="s">
        <v>174</v>
      </c>
      <c r="E325" s="19" t="s">
        <v>371</v>
      </c>
      <c r="F325" s="5" t="s">
        <v>588</v>
      </c>
      <c r="G325" s="5"/>
      <c r="H325" s="19"/>
      <c r="I325" s="15" t="s">
        <v>93</v>
      </c>
      <c r="J325" s="5"/>
    </row>
    <row r="326" spans="1:10" x14ac:dyDescent="0.25">
      <c r="A326" s="19" t="s">
        <v>218</v>
      </c>
      <c r="B326" s="5" t="s">
        <v>219</v>
      </c>
      <c r="C326" s="15">
        <v>17</v>
      </c>
      <c r="D326" s="16" t="s">
        <v>710</v>
      </c>
      <c r="E326" s="19" t="s">
        <v>624</v>
      </c>
      <c r="F326" s="5" t="s">
        <v>782</v>
      </c>
      <c r="G326" s="5"/>
      <c r="H326" s="19" t="s">
        <v>712</v>
      </c>
      <c r="I326" s="15" t="s">
        <v>418</v>
      </c>
      <c r="J326" s="5"/>
    </row>
    <row r="327" spans="1:10" ht="26.4" x14ac:dyDescent="0.25">
      <c r="A327" s="19" t="s">
        <v>218</v>
      </c>
      <c r="B327" s="5" t="s">
        <v>219</v>
      </c>
      <c r="C327" s="15">
        <v>18</v>
      </c>
      <c r="D327" s="16" t="s">
        <v>783</v>
      </c>
      <c r="E327" s="19" t="s">
        <v>337</v>
      </c>
      <c r="F327" s="5" t="s">
        <v>784</v>
      </c>
      <c r="G327" s="5"/>
      <c r="H327" s="19" t="s">
        <v>785</v>
      </c>
      <c r="I327" s="15" t="s">
        <v>418</v>
      </c>
      <c r="J327" s="5"/>
    </row>
    <row r="328" spans="1:10" x14ac:dyDescent="0.25">
      <c r="A328" s="19" t="s">
        <v>218</v>
      </c>
      <c r="B328" s="5" t="s">
        <v>219</v>
      </c>
      <c r="C328" s="15">
        <v>19</v>
      </c>
      <c r="D328" s="16" t="s">
        <v>786</v>
      </c>
      <c r="E328" s="19" t="s">
        <v>528</v>
      </c>
      <c r="F328" s="5" t="s">
        <v>787</v>
      </c>
      <c r="G328" s="5"/>
      <c r="H328" s="19"/>
      <c r="I328" s="15" t="s">
        <v>93</v>
      </c>
      <c r="J328" s="5"/>
    </row>
    <row r="329" spans="1:10" x14ac:dyDescent="0.25">
      <c r="A329" s="19" t="s">
        <v>218</v>
      </c>
      <c r="B329" s="5" t="s">
        <v>219</v>
      </c>
      <c r="C329" s="15">
        <v>20</v>
      </c>
      <c r="D329" s="16" t="s">
        <v>788</v>
      </c>
      <c r="E329" s="19" t="s">
        <v>578</v>
      </c>
      <c r="F329" s="5" t="s">
        <v>789</v>
      </c>
      <c r="G329" s="5"/>
      <c r="H329" s="19"/>
      <c r="I329" s="15" t="s">
        <v>93</v>
      </c>
      <c r="J329" s="5"/>
    </row>
    <row r="330" spans="1:10" ht="26.4" x14ac:dyDescent="0.25">
      <c r="A330" s="19" t="s">
        <v>218</v>
      </c>
      <c r="B330" s="5" t="s">
        <v>219</v>
      </c>
      <c r="C330" s="15">
        <v>21</v>
      </c>
      <c r="D330" s="16" t="s">
        <v>749</v>
      </c>
      <c r="E330" s="19" t="s">
        <v>496</v>
      </c>
      <c r="F330" s="5" t="s">
        <v>750</v>
      </c>
      <c r="G330" s="5" t="s">
        <v>790</v>
      </c>
      <c r="H330" s="19"/>
      <c r="I330" s="15" t="s">
        <v>93</v>
      </c>
      <c r="J330" s="5"/>
    </row>
    <row r="331" spans="1:10" x14ac:dyDescent="0.25">
      <c r="A331" s="19" t="s">
        <v>218</v>
      </c>
      <c r="B331" s="5" t="s">
        <v>219</v>
      </c>
      <c r="C331" s="15">
        <v>22</v>
      </c>
      <c r="D331" s="16" t="s">
        <v>791</v>
      </c>
      <c r="E331" s="19" t="s">
        <v>388</v>
      </c>
      <c r="F331" s="5" t="s">
        <v>792</v>
      </c>
      <c r="G331" s="5"/>
      <c r="H331" s="19"/>
      <c r="I331" s="15" t="s">
        <v>93</v>
      </c>
      <c r="J331" s="5"/>
    </row>
    <row r="332" spans="1:10" x14ac:dyDescent="0.25">
      <c r="A332" s="19" t="s">
        <v>218</v>
      </c>
      <c r="B332" s="5" t="s">
        <v>219</v>
      </c>
      <c r="C332" s="15">
        <v>23</v>
      </c>
      <c r="D332" s="16" t="s">
        <v>793</v>
      </c>
      <c r="E332" s="19" t="s">
        <v>388</v>
      </c>
      <c r="F332" s="5" t="s">
        <v>794</v>
      </c>
      <c r="G332" s="5"/>
      <c r="H332" s="19"/>
      <c r="I332" s="15" t="s">
        <v>93</v>
      </c>
      <c r="J332" s="5"/>
    </row>
    <row r="333" spans="1:10" x14ac:dyDescent="0.25">
      <c r="A333" s="19" t="s">
        <v>223</v>
      </c>
      <c r="B333" s="5" t="s">
        <v>224</v>
      </c>
      <c r="C333" s="15">
        <v>1</v>
      </c>
      <c r="D333" s="16" t="s">
        <v>336</v>
      </c>
      <c r="E333" s="19" t="s">
        <v>337</v>
      </c>
      <c r="F333" s="5" t="s">
        <v>338</v>
      </c>
      <c r="G333" s="5"/>
      <c r="H333" s="19" t="s">
        <v>339</v>
      </c>
      <c r="I333" s="15" t="s">
        <v>93</v>
      </c>
      <c r="J333" s="5"/>
    </row>
    <row r="334" spans="1:10" x14ac:dyDescent="0.25">
      <c r="A334" s="19" t="s">
        <v>223</v>
      </c>
      <c r="B334" s="5" t="s">
        <v>224</v>
      </c>
      <c r="C334" s="15">
        <v>2</v>
      </c>
      <c r="D334" s="16" t="s">
        <v>795</v>
      </c>
      <c r="E334" s="19" t="s">
        <v>412</v>
      </c>
      <c r="F334" s="5" t="s">
        <v>796</v>
      </c>
      <c r="G334" s="5"/>
      <c r="H334" s="19" t="s">
        <v>341</v>
      </c>
      <c r="I334" s="15" t="s">
        <v>93</v>
      </c>
      <c r="J334" s="5"/>
    </row>
    <row r="335" spans="1:10" x14ac:dyDescent="0.25">
      <c r="A335" s="19" t="s">
        <v>223</v>
      </c>
      <c r="B335" s="5" t="s">
        <v>224</v>
      </c>
      <c r="C335" s="15">
        <v>3</v>
      </c>
      <c r="D335" s="16" t="s">
        <v>563</v>
      </c>
      <c r="E335" s="19" t="s">
        <v>502</v>
      </c>
      <c r="F335" s="5" t="s">
        <v>797</v>
      </c>
      <c r="G335" s="5"/>
      <c r="H335" s="19"/>
      <c r="I335" s="15" t="s">
        <v>93</v>
      </c>
      <c r="J335" s="5"/>
    </row>
    <row r="336" spans="1:10" x14ac:dyDescent="0.25">
      <c r="A336" s="19" t="s">
        <v>223</v>
      </c>
      <c r="B336" s="5" t="s">
        <v>224</v>
      </c>
      <c r="C336" s="15">
        <v>4</v>
      </c>
      <c r="D336" s="16" t="s">
        <v>622</v>
      </c>
      <c r="E336" s="19" t="s">
        <v>528</v>
      </c>
      <c r="F336" s="5" t="s">
        <v>798</v>
      </c>
      <c r="G336" s="5"/>
      <c r="H336" s="19"/>
      <c r="I336" s="15" t="s">
        <v>93</v>
      </c>
      <c r="J336" s="5"/>
    </row>
    <row r="337" spans="1:10" x14ac:dyDescent="0.25">
      <c r="A337" s="19" t="s">
        <v>223</v>
      </c>
      <c r="B337" s="5" t="s">
        <v>224</v>
      </c>
      <c r="C337" s="15">
        <v>5</v>
      </c>
      <c r="D337" s="16" t="s">
        <v>799</v>
      </c>
      <c r="E337" s="19" t="s">
        <v>367</v>
      </c>
      <c r="F337" s="5" t="s">
        <v>800</v>
      </c>
      <c r="G337" s="5"/>
      <c r="H337" s="19"/>
      <c r="I337" s="15" t="s">
        <v>93</v>
      </c>
      <c r="J337" s="5"/>
    </row>
    <row r="338" spans="1:10" x14ac:dyDescent="0.25">
      <c r="A338" s="19" t="s">
        <v>223</v>
      </c>
      <c r="B338" s="5" t="s">
        <v>224</v>
      </c>
      <c r="C338" s="15">
        <v>6</v>
      </c>
      <c r="D338" s="16" t="s">
        <v>801</v>
      </c>
      <c r="E338" s="19" t="s">
        <v>367</v>
      </c>
      <c r="F338" s="5" t="s">
        <v>802</v>
      </c>
      <c r="G338" s="5"/>
      <c r="H338" s="19"/>
      <c r="I338" s="15" t="s">
        <v>93</v>
      </c>
      <c r="J338" s="5"/>
    </row>
    <row r="339" spans="1:10" x14ac:dyDescent="0.25">
      <c r="A339" s="19" t="s">
        <v>223</v>
      </c>
      <c r="B339" s="5" t="s">
        <v>224</v>
      </c>
      <c r="C339" s="15">
        <v>7</v>
      </c>
      <c r="D339" s="16" t="s">
        <v>803</v>
      </c>
      <c r="E339" s="19" t="s">
        <v>367</v>
      </c>
      <c r="F339" s="5" t="s">
        <v>804</v>
      </c>
      <c r="G339" s="5"/>
      <c r="H339" s="19"/>
      <c r="I339" s="15" t="s">
        <v>93</v>
      </c>
      <c r="J339" s="5"/>
    </row>
    <row r="340" spans="1:10" x14ac:dyDescent="0.25">
      <c r="A340" s="19" t="s">
        <v>223</v>
      </c>
      <c r="B340" s="5" t="s">
        <v>224</v>
      </c>
      <c r="C340" s="15">
        <v>8</v>
      </c>
      <c r="D340" s="16" t="s">
        <v>805</v>
      </c>
      <c r="E340" s="19" t="s">
        <v>367</v>
      </c>
      <c r="F340" s="5" t="s">
        <v>806</v>
      </c>
      <c r="G340" s="5"/>
      <c r="H340" s="19"/>
      <c r="I340" s="15" t="s">
        <v>93</v>
      </c>
      <c r="J340" s="5"/>
    </row>
    <row r="341" spans="1:10" x14ac:dyDescent="0.25">
      <c r="A341" s="19" t="s">
        <v>223</v>
      </c>
      <c r="B341" s="5" t="s">
        <v>224</v>
      </c>
      <c r="C341" s="15">
        <v>9</v>
      </c>
      <c r="D341" s="16" t="s">
        <v>169</v>
      </c>
      <c r="E341" s="19" t="s">
        <v>371</v>
      </c>
      <c r="F341" s="5" t="s">
        <v>600</v>
      </c>
      <c r="G341" s="5"/>
      <c r="H341" s="19"/>
      <c r="I341" s="15" t="s">
        <v>93</v>
      </c>
      <c r="J341" s="5"/>
    </row>
    <row r="342" spans="1:10" x14ac:dyDescent="0.25">
      <c r="A342" s="19" t="s">
        <v>227</v>
      </c>
      <c r="B342" s="5" t="s">
        <v>228</v>
      </c>
      <c r="C342" s="15">
        <v>1</v>
      </c>
      <c r="D342" s="16" t="s">
        <v>336</v>
      </c>
      <c r="E342" s="19" t="s">
        <v>337</v>
      </c>
      <c r="F342" s="5" t="s">
        <v>338</v>
      </c>
      <c r="G342" s="5"/>
      <c r="H342" s="19" t="s">
        <v>339</v>
      </c>
      <c r="I342" s="15" t="s">
        <v>93</v>
      </c>
      <c r="J342" s="5"/>
    </row>
    <row r="343" spans="1:10" x14ac:dyDescent="0.25">
      <c r="A343" s="19" t="s">
        <v>227</v>
      </c>
      <c r="B343" s="5" t="s">
        <v>228</v>
      </c>
      <c r="C343" s="15">
        <v>2</v>
      </c>
      <c r="D343" s="16" t="s">
        <v>807</v>
      </c>
      <c r="E343" s="19" t="s">
        <v>367</v>
      </c>
      <c r="F343" s="5" t="s">
        <v>329</v>
      </c>
      <c r="G343" s="5"/>
      <c r="H343" s="19"/>
      <c r="I343" s="15" t="s">
        <v>93</v>
      </c>
      <c r="J343" s="5"/>
    </row>
    <row r="344" spans="1:10" x14ac:dyDescent="0.25">
      <c r="A344" s="19" t="s">
        <v>227</v>
      </c>
      <c r="B344" s="5" t="s">
        <v>228</v>
      </c>
      <c r="C344" s="15">
        <v>3</v>
      </c>
      <c r="D344" s="16" t="s">
        <v>601</v>
      </c>
      <c r="E344" s="19" t="s">
        <v>446</v>
      </c>
      <c r="F344" s="5" t="s">
        <v>333</v>
      </c>
      <c r="G344" s="5"/>
      <c r="H344" s="19"/>
      <c r="I344" s="15" t="s">
        <v>93</v>
      </c>
      <c r="J344" s="5"/>
    </row>
    <row r="345" spans="1:10" x14ac:dyDescent="0.25">
      <c r="A345" s="19" t="s">
        <v>227</v>
      </c>
      <c r="B345" s="5" t="s">
        <v>228</v>
      </c>
      <c r="C345" s="15">
        <v>4</v>
      </c>
      <c r="D345" s="16" t="s">
        <v>475</v>
      </c>
      <c r="E345" s="19" t="s">
        <v>502</v>
      </c>
      <c r="F345" s="5" t="s">
        <v>685</v>
      </c>
      <c r="G345" s="5"/>
      <c r="H345" s="19"/>
      <c r="I345" s="15" t="s">
        <v>93</v>
      </c>
      <c r="J345" s="5"/>
    </row>
    <row r="346" spans="1:10" x14ac:dyDescent="0.25">
      <c r="A346" s="19" t="s">
        <v>227</v>
      </c>
      <c r="B346" s="5" t="s">
        <v>228</v>
      </c>
      <c r="C346" s="15">
        <v>5</v>
      </c>
      <c r="D346" s="16" t="s">
        <v>808</v>
      </c>
      <c r="E346" s="19" t="s">
        <v>496</v>
      </c>
      <c r="F346" s="5" t="s">
        <v>415</v>
      </c>
      <c r="G346" s="5" t="s">
        <v>809</v>
      </c>
      <c r="H346" s="19"/>
      <c r="I346" s="15" t="s">
        <v>93</v>
      </c>
      <c r="J346" s="5"/>
    </row>
    <row r="347" spans="1:10" x14ac:dyDescent="0.25">
      <c r="A347" s="19" t="s">
        <v>227</v>
      </c>
      <c r="B347" s="5" t="s">
        <v>228</v>
      </c>
      <c r="C347" s="15">
        <v>6</v>
      </c>
      <c r="D347" s="16" t="s">
        <v>810</v>
      </c>
      <c r="E347" s="19" t="s">
        <v>528</v>
      </c>
      <c r="F347" s="5" t="s">
        <v>811</v>
      </c>
      <c r="G347" s="5"/>
      <c r="H347" s="19"/>
      <c r="I347" s="15" t="s">
        <v>93</v>
      </c>
      <c r="J347" s="5"/>
    </row>
    <row r="348" spans="1:10" x14ac:dyDescent="0.25">
      <c r="A348" s="19" t="s">
        <v>227</v>
      </c>
      <c r="B348" s="5" t="s">
        <v>228</v>
      </c>
      <c r="C348" s="15">
        <v>7</v>
      </c>
      <c r="D348" s="16" t="s">
        <v>812</v>
      </c>
      <c r="E348" s="19" t="s">
        <v>367</v>
      </c>
      <c r="F348" s="5" t="s">
        <v>813</v>
      </c>
      <c r="G348" s="5"/>
      <c r="H348" s="19"/>
      <c r="I348" s="15" t="s">
        <v>93</v>
      </c>
      <c r="J348" s="5"/>
    </row>
    <row r="349" spans="1:10" x14ac:dyDescent="0.25">
      <c r="A349" s="19" t="s">
        <v>227</v>
      </c>
      <c r="B349" s="5" t="s">
        <v>228</v>
      </c>
      <c r="C349" s="15">
        <v>8</v>
      </c>
      <c r="D349" s="16" t="s">
        <v>814</v>
      </c>
      <c r="E349" s="19" t="s">
        <v>528</v>
      </c>
      <c r="F349" s="5" t="s">
        <v>815</v>
      </c>
      <c r="G349" s="5"/>
      <c r="H349" s="19"/>
      <c r="I349" s="15" t="s">
        <v>93</v>
      </c>
      <c r="J349" s="5"/>
    </row>
    <row r="350" spans="1:10" x14ac:dyDescent="0.25">
      <c r="A350" s="19" t="s">
        <v>227</v>
      </c>
      <c r="B350" s="5" t="s">
        <v>228</v>
      </c>
      <c r="C350" s="15">
        <v>9</v>
      </c>
      <c r="D350" s="16" t="s">
        <v>816</v>
      </c>
      <c r="E350" s="19" t="s">
        <v>817</v>
      </c>
      <c r="F350" s="5" t="s">
        <v>818</v>
      </c>
      <c r="G350" s="5"/>
      <c r="H350" s="19"/>
      <c r="I350" s="15" t="s">
        <v>93</v>
      </c>
      <c r="J350" s="5"/>
    </row>
    <row r="351" spans="1:10" ht="26.4" x14ac:dyDescent="0.25">
      <c r="A351" s="19" t="s">
        <v>227</v>
      </c>
      <c r="B351" s="5" t="s">
        <v>228</v>
      </c>
      <c r="C351" s="15">
        <v>10</v>
      </c>
      <c r="D351" s="16" t="s">
        <v>783</v>
      </c>
      <c r="E351" s="19" t="s">
        <v>337</v>
      </c>
      <c r="F351" s="5" t="s">
        <v>784</v>
      </c>
      <c r="G351" s="5"/>
      <c r="H351" s="19" t="s">
        <v>785</v>
      </c>
      <c r="I351" s="15" t="s">
        <v>93</v>
      </c>
      <c r="J351" s="5"/>
    </row>
    <row r="352" spans="1:10" x14ac:dyDescent="0.25">
      <c r="A352" s="19" t="s">
        <v>230</v>
      </c>
      <c r="B352" s="5" t="s">
        <v>231</v>
      </c>
      <c r="C352" s="15">
        <v>1</v>
      </c>
      <c r="D352" s="16" t="s">
        <v>336</v>
      </c>
      <c r="E352" s="19" t="s">
        <v>337</v>
      </c>
      <c r="F352" s="5" t="s">
        <v>338</v>
      </c>
      <c r="G352" s="5"/>
      <c r="H352" s="19" t="s">
        <v>339</v>
      </c>
      <c r="I352" s="15" t="s">
        <v>93</v>
      </c>
      <c r="J352" s="5"/>
    </row>
    <row r="353" spans="1:10" x14ac:dyDescent="0.25">
      <c r="A353" s="19" t="s">
        <v>230</v>
      </c>
      <c r="B353" s="5" t="s">
        <v>231</v>
      </c>
      <c r="C353" s="15">
        <v>2</v>
      </c>
      <c r="D353" s="16" t="s">
        <v>819</v>
      </c>
      <c r="E353" s="19" t="s">
        <v>502</v>
      </c>
      <c r="F353" s="5" t="s">
        <v>820</v>
      </c>
      <c r="G353" s="5"/>
      <c r="H353" s="19"/>
      <c r="I353" s="15" t="s">
        <v>93</v>
      </c>
      <c r="J353" s="7" t="s">
        <v>686</v>
      </c>
    </row>
    <row r="354" spans="1:10" x14ac:dyDescent="0.25">
      <c r="A354" s="19" t="s">
        <v>230</v>
      </c>
      <c r="B354" s="5" t="s">
        <v>231</v>
      </c>
      <c r="C354" s="15">
        <v>3</v>
      </c>
      <c r="D354" s="16" t="s">
        <v>821</v>
      </c>
      <c r="E354" s="19" t="s">
        <v>422</v>
      </c>
      <c r="F354" s="5" t="s">
        <v>822</v>
      </c>
      <c r="G354" s="5"/>
      <c r="H354" s="19"/>
      <c r="I354" s="15" t="s">
        <v>93</v>
      </c>
      <c r="J354" s="5"/>
    </row>
    <row r="355" spans="1:10" x14ac:dyDescent="0.25">
      <c r="A355" s="19" t="s">
        <v>230</v>
      </c>
      <c r="B355" s="5" t="s">
        <v>231</v>
      </c>
      <c r="C355" s="15">
        <v>4</v>
      </c>
      <c r="D355" s="16" t="s">
        <v>495</v>
      </c>
      <c r="E355" s="19" t="s">
        <v>496</v>
      </c>
      <c r="F355" s="5" t="s">
        <v>497</v>
      </c>
      <c r="G355" s="5" t="s">
        <v>823</v>
      </c>
      <c r="H355" s="19"/>
      <c r="I355" s="15" t="s">
        <v>93</v>
      </c>
      <c r="J355" s="5"/>
    </row>
    <row r="356" spans="1:10" x14ac:dyDescent="0.25">
      <c r="A356" s="19" t="s">
        <v>230</v>
      </c>
      <c r="B356" s="5" t="s">
        <v>231</v>
      </c>
      <c r="C356" s="15">
        <v>5</v>
      </c>
      <c r="D356" s="16" t="s">
        <v>778</v>
      </c>
      <c r="E356" s="19" t="s">
        <v>502</v>
      </c>
      <c r="F356" s="5" t="s">
        <v>824</v>
      </c>
      <c r="G356" s="5"/>
      <c r="H356" s="19"/>
      <c r="I356" s="15" t="s">
        <v>93</v>
      </c>
      <c r="J356" s="7" t="s">
        <v>686</v>
      </c>
    </row>
    <row r="357" spans="1:10" x14ac:dyDescent="0.25">
      <c r="A357" s="19" t="s">
        <v>230</v>
      </c>
      <c r="B357" s="5" t="s">
        <v>231</v>
      </c>
      <c r="C357" s="15">
        <v>6</v>
      </c>
      <c r="D357" s="16" t="s">
        <v>825</v>
      </c>
      <c r="E357" s="19" t="s">
        <v>371</v>
      </c>
      <c r="F357" s="5" t="s">
        <v>826</v>
      </c>
      <c r="G357" s="5"/>
      <c r="H357" s="19"/>
      <c r="I357" s="15" t="s">
        <v>418</v>
      </c>
      <c r="J357" s="5"/>
    </row>
    <row r="358" spans="1:10" x14ac:dyDescent="0.25">
      <c r="A358" s="19" t="s">
        <v>230</v>
      </c>
      <c r="B358" s="5" t="s">
        <v>231</v>
      </c>
      <c r="C358" s="15">
        <v>7</v>
      </c>
      <c r="D358" s="16" t="s">
        <v>169</v>
      </c>
      <c r="E358" s="19" t="s">
        <v>371</v>
      </c>
      <c r="F358" s="5" t="s">
        <v>600</v>
      </c>
      <c r="G358" s="5"/>
      <c r="H358" s="19"/>
      <c r="I358" s="15" t="s">
        <v>93</v>
      </c>
      <c r="J358" s="5"/>
    </row>
    <row r="359" spans="1:10" x14ac:dyDescent="0.25">
      <c r="A359" s="19" t="s">
        <v>230</v>
      </c>
      <c r="B359" s="5" t="s">
        <v>231</v>
      </c>
      <c r="C359" s="15">
        <v>8</v>
      </c>
      <c r="D359" s="16" t="s">
        <v>710</v>
      </c>
      <c r="E359" s="19" t="s">
        <v>624</v>
      </c>
      <c r="F359" s="5" t="s">
        <v>782</v>
      </c>
      <c r="G359" s="5"/>
      <c r="H359" s="19" t="s">
        <v>712</v>
      </c>
      <c r="I359" s="15" t="s">
        <v>418</v>
      </c>
      <c r="J359" s="5"/>
    </row>
    <row r="360" spans="1:10" x14ac:dyDescent="0.25">
      <c r="A360" s="19" t="s">
        <v>234</v>
      </c>
      <c r="B360" s="5" t="s">
        <v>235</v>
      </c>
      <c r="C360" s="15">
        <v>1</v>
      </c>
      <c r="D360" s="16" t="s">
        <v>336</v>
      </c>
      <c r="E360" s="19" t="s">
        <v>337</v>
      </c>
      <c r="F360" s="5" t="s">
        <v>338</v>
      </c>
      <c r="G360" s="5"/>
      <c r="H360" s="19" t="s">
        <v>339</v>
      </c>
      <c r="I360" s="15" t="s">
        <v>93</v>
      </c>
      <c r="J360" s="5"/>
    </row>
    <row r="361" spans="1:10" x14ac:dyDescent="0.25">
      <c r="A361" s="19" t="s">
        <v>234</v>
      </c>
      <c r="B361" s="5" t="s">
        <v>235</v>
      </c>
      <c r="C361" s="15">
        <v>2</v>
      </c>
      <c r="D361" s="16" t="s">
        <v>827</v>
      </c>
      <c r="E361" s="19" t="s">
        <v>619</v>
      </c>
      <c r="F361" s="5" t="s">
        <v>828</v>
      </c>
      <c r="G361" s="5" t="s">
        <v>829</v>
      </c>
      <c r="H361" s="19"/>
      <c r="I361" s="15" t="s">
        <v>93</v>
      </c>
      <c r="J361" s="5"/>
    </row>
    <row r="362" spans="1:10" x14ac:dyDescent="0.25">
      <c r="A362" s="19" t="s">
        <v>234</v>
      </c>
      <c r="B362" s="5" t="s">
        <v>235</v>
      </c>
      <c r="C362" s="15">
        <v>3</v>
      </c>
      <c r="D362" s="16" t="s">
        <v>830</v>
      </c>
      <c r="E362" s="19" t="s">
        <v>659</v>
      </c>
      <c r="F362" s="5" t="s">
        <v>831</v>
      </c>
      <c r="G362" s="5"/>
      <c r="H362" s="19"/>
      <c r="I362" s="15" t="s">
        <v>418</v>
      </c>
      <c r="J362" s="5"/>
    </row>
    <row r="363" spans="1:10" x14ac:dyDescent="0.25">
      <c r="A363" s="19" t="s">
        <v>234</v>
      </c>
      <c r="B363" s="5" t="s">
        <v>235</v>
      </c>
      <c r="C363" s="15">
        <v>4</v>
      </c>
      <c r="D363" s="16" t="s">
        <v>808</v>
      </c>
      <c r="E363" s="19" t="s">
        <v>496</v>
      </c>
      <c r="F363" s="5" t="s">
        <v>415</v>
      </c>
      <c r="G363" s="5" t="s">
        <v>809</v>
      </c>
      <c r="H363" s="19"/>
      <c r="I363" s="15" t="s">
        <v>93</v>
      </c>
      <c r="J363" s="5"/>
    </row>
    <row r="364" spans="1:10" x14ac:dyDescent="0.25">
      <c r="A364" s="19" t="s">
        <v>234</v>
      </c>
      <c r="B364" s="5" t="s">
        <v>235</v>
      </c>
      <c r="C364" s="15">
        <v>5</v>
      </c>
      <c r="D364" s="16" t="s">
        <v>832</v>
      </c>
      <c r="E364" s="19" t="s">
        <v>633</v>
      </c>
      <c r="F364" s="5" t="s">
        <v>833</v>
      </c>
      <c r="G364" s="5"/>
      <c r="H364" s="19"/>
      <c r="I364" s="15" t="s">
        <v>93</v>
      </c>
      <c r="J364" s="5"/>
    </row>
    <row r="365" spans="1:10" x14ac:dyDescent="0.25">
      <c r="A365" s="19" t="s">
        <v>234</v>
      </c>
      <c r="B365" s="5" t="s">
        <v>235</v>
      </c>
      <c r="C365" s="15">
        <v>6</v>
      </c>
      <c r="D365" s="16" t="s">
        <v>834</v>
      </c>
      <c r="E365" s="19" t="s">
        <v>835</v>
      </c>
      <c r="F365" s="5" t="s">
        <v>836</v>
      </c>
      <c r="G365" s="5"/>
      <c r="H365" s="19"/>
      <c r="I365" s="15" t="s">
        <v>418</v>
      </c>
      <c r="J365" s="5"/>
    </row>
    <row r="366" spans="1:10" x14ac:dyDescent="0.25">
      <c r="A366" s="19" t="s">
        <v>234</v>
      </c>
      <c r="B366" s="5" t="s">
        <v>235</v>
      </c>
      <c r="C366" s="15">
        <v>7</v>
      </c>
      <c r="D366" s="16" t="s">
        <v>837</v>
      </c>
      <c r="E366" s="19" t="s">
        <v>343</v>
      </c>
      <c r="F366" s="5" t="s">
        <v>838</v>
      </c>
      <c r="G366" s="5"/>
      <c r="H366" s="19"/>
      <c r="I366" s="15" t="s">
        <v>93</v>
      </c>
      <c r="J366" s="5"/>
    </row>
    <row r="367" spans="1:10" x14ac:dyDescent="0.25">
      <c r="A367" s="19" t="s">
        <v>234</v>
      </c>
      <c r="B367" s="5" t="s">
        <v>235</v>
      </c>
      <c r="C367" s="15">
        <v>8</v>
      </c>
      <c r="D367" s="16" t="s">
        <v>839</v>
      </c>
      <c r="E367" s="19" t="s">
        <v>412</v>
      </c>
      <c r="F367" s="5" t="s">
        <v>840</v>
      </c>
      <c r="G367" s="5"/>
      <c r="H367" s="19"/>
      <c r="I367" s="15" t="s">
        <v>93</v>
      </c>
      <c r="J367" s="5"/>
    </row>
    <row r="368" spans="1:10" x14ac:dyDescent="0.25">
      <c r="A368" s="19" t="s">
        <v>234</v>
      </c>
      <c r="B368" s="5" t="s">
        <v>235</v>
      </c>
      <c r="C368" s="15">
        <v>9</v>
      </c>
      <c r="D368" s="16" t="s">
        <v>169</v>
      </c>
      <c r="E368" s="19" t="s">
        <v>371</v>
      </c>
      <c r="F368" s="5" t="s">
        <v>600</v>
      </c>
      <c r="G368" s="5"/>
      <c r="H368" s="19"/>
      <c r="I368" s="15" t="s">
        <v>93</v>
      </c>
      <c r="J368" s="5"/>
    </row>
    <row r="369" spans="1:10" x14ac:dyDescent="0.25">
      <c r="A369" s="19" t="s">
        <v>234</v>
      </c>
      <c r="B369" s="5" t="s">
        <v>235</v>
      </c>
      <c r="C369" s="15">
        <v>10</v>
      </c>
      <c r="D369" s="16" t="s">
        <v>841</v>
      </c>
      <c r="E369" s="19" t="s">
        <v>337</v>
      </c>
      <c r="F369" s="5" t="s">
        <v>842</v>
      </c>
      <c r="G369" s="5"/>
      <c r="H369" s="19" t="s">
        <v>843</v>
      </c>
      <c r="I369" s="15" t="s">
        <v>418</v>
      </c>
      <c r="J369" s="5"/>
    </row>
    <row r="370" spans="1:10" x14ac:dyDescent="0.25">
      <c r="A370" s="19" t="s">
        <v>234</v>
      </c>
      <c r="B370" s="5" t="s">
        <v>235</v>
      </c>
      <c r="C370" s="15">
        <v>11</v>
      </c>
      <c r="D370" s="16" t="s">
        <v>844</v>
      </c>
      <c r="E370" s="19" t="s">
        <v>337</v>
      </c>
      <c r="F370" s="5" t="s">
        <v>845</v>
      </c>
      <c r="G370" s="5"/>
      <c r="H370" s="19" t="s">
        <v>846</v>
      </c>
      <c r="I370" s="15" t="s">
        <v>93</v>
      </c>
      <c r="J370" s="5"/>
    </row>
    <row r="371" spans="1:10" x14ac:dyDescent="0.25">
      <c r="A371" s="19" t="s">
        <v>239</v>
      </c>
      <c r="B371" s="5" t="s">
        <v>240</v>
      </c>
      <c r="C371" s="15">
        <v>1</v>
      </c>
      <c r="D371" s="16" t="s">
        <v>336</v>
      </c>
      <c r="E371" s="19" t="s">
        <v>337</v>
      </c>
      <c r="F371" s="5" t="s">
        <v>338</v>
      </c>
      <c r="G371" s="5"/>
      <c r="H371" s="19" t="s">
        <v>339</v>
      </c>
      <c r="I371" s="15" t="s">
        <v>93</v>
      </c>
      <c r="J371" s="5"/>
    </row>
    <row r="372" spans="1:10" x14ac:dyDescent="0.25">
      <c r="A372" s="19" t="s">
        <v>239</v>
      </c>
      <c r="B372" s="5" t="s">
        <v>240</v>
      </c>
      <c r="C372" s="15">
        <v>2</v>
      </c>
      <c r="D372" s="16" t="s">
        <v>847</v>
      </c>
      <c r="E372" s="19" t="s">
        <v>502</v>
      </c>
      <c r="F372" s="5" t="s">
        <v>848</v>
      </c>
      <c r="G372" s="5"/>
      <c r="H372" s="19"/>
      <c r="I372" s="15" t="s">
        <v>93</v>
      </c>
      <c r="J372" s="7" t="s">
        <v>686</v>
      </c>
    </row>
    <row r="373" spans="1:10" x14ac:dyDescent="0.25">
      <c r="A373" s="19" t="s">
        <v>239</v>
      </c>
      <c r="B373" s="5" t="s">
        <v>240</v>
      </c>
      <c r="C373" s="15">
        <v>3</v>
      </c>
      <c r="D373" s="16" t="s">
        <v>849</v>
      </c>
      <c r="E373" s="19" t="s">
        <v>412</v>
      </c>
      <c r="F373" s="5" t="s">
        <v>850</v>
      </c>
      <c r="G373" s="5"/>
      <c r="H373" s="19"/>
      <c r="I373" s="15" t="s">
        <v>93</v>
      </c>
      <c r="J373" s="7" t="s">
        <v>567</v>
      </c>
    </row>
    <row r="374" spans="1:10" ht="39.6" x14ac:dyDescent="0.25">
      <c r="A374" s="19" t="s">
        <v>239</v>
      </c>
      <c r="B374" s="5" t="s">
        <v>240</v>
      </c>
      <c r="C374" s="15">
        <v>4</v>
      </c>
      <c r="D374" s="16" t="s">
        <v>851</v>
      </c>
      <c r="E374" s="19" t="s">
        <v>578</v>
      </c>
      <c r="F374" s="5" t="s">
        <v>562</v>
      </c>
      <c r="G374" s="5" t="s">
        <v>852</v>
      </c>
      <c r="H374" s="19"/>
      <c r="I374" s="15" t="s">
        <v>93</v>
      </c>
      <c r="J374" s="5"/>
    </row>
    <row r="375" spans="1:10" x14ac:dyDescent="0.25">
      <c r="A375" s="19" t="s">
        <v>239</v>
      </c>
      <c r="B375" s="5" t="s">
        <v>240</v>
      </c>
      <c r="C375" s="15">
        <v>5</v>
      </c>
      <c r="D375" s="16" t="s">
        <v>572</v>
      </c>
      <c r="E375" s="19" t="s">
        <v>422</v>
      </c>
      <c r="F375" s="5" t="s">
        <v>573</v>
      </c>
      <c r="G375" s="5"/>
      <c r="H375" s="19"/>
      <c r="I375" s="15" t="s">
        <v>93</v>
      </c>
      <c r="J375" s="5"/>
    </row>
    <row r="376" spans="1:10" x14ac:dyDescent="0.25">
      <c r="A376" s="19" t="s">
        <v>239</v>
      </c>
      <c r="B376" s="5" t="s">
        <v>240</v>
      </c>
      <c r="C376" s="15">
        <v>6</v>
      </c>
      <c r="D376" s="16" t="s">
        <v>169</v>
      </c>
      <c r="E376" s="19" t="s">
        <v>371</v>
      </c>
      <c r="F376" s="5" t="s">
        <v>600</v>
      </c>
      <c r="G376" s="5"/>
      <c r="H376" s="19"/>
      <c r="I376" s="15" t="s">
        <v>93</v>
      </c>
      <c r="J376" s="5"/>
    </row>
    <row r="377" spans="1:10" x14ac:dyDescent="0.25">
      <c r="A377" s="19" t="s">
        <v>239</v>
      </c>
      <c r="B377" s="5" t="s">
        <v>240</v>
      </c>
      <c r="C377" s="15">
        <v>7</v>
      </c>
      <c r="D377" s="16" t="s">
        <v>844</v>
      </c>
      <c r="E377" s="19" t="s">
        <v>337</v>
      </c>
      <c r="F377" s="5" t="s">
        <v>845</v>
      </c>
      <c r="G377" s="5"/>
      <c r="H377" s="19" t="s">
        <v>846</v>
      </c>
      <c r="I377" s="15" t="s">
        <v>418</v>
      </c>
      <c r="J377" s="5"/>
    </row>
    <row r="378" spans="1:10" ht="26.4" x14ac:dyDescent="0.25">
      <c r="A378" s="19" t="s">
        <v>243</v>
      </c>
      <c r="B378" s="5" t="s">
        <v>244</v>
      </c>
      <c r="C378" s="15">
        <v>1</v>
      </c>
      <c r="D378" s="16" t="s">
        <v>336</v>
      </c>
      <c r="E378" s="19" t="s">
        <v>337</v>
      </c>
      <c r="F378" s="5" t="s">
        <v>338</v>
      </c>
      <c r="G378" s="5"/>
      <c r="H378" s="19" t="s">
        <v>339</v>
      </c>
      <c r="I378" s="15" t="s">
        <v>93</v>
      </c>
      <c r="J378" s="5"/>
    </row>
    <row r="379" spans="1:10" ht="26.4" x14ac:dyDescent="0.25">
      <c r="A379" s="19" t="s">
        <v>243</v>
      </c>
      <c r="B379" s="5" t="s">
        <v>244</v>
      </c>
      <c r="C379" s="15">
        <v>2</v>
      </c>
      <c r="D379" s="16" t="s">
        <v>577</v>
      </c>
      <c r="E379" s="19" t="s">
        <v>409</v>
      </c>
      <c r="F379" s="5" t="s">
        <v>579</v>
      </c>
      <c r="G379" s="5"/>
      <c r="H379" s="19"/>
      <c r="I379" s="15" t="s">
        <v>93</v>
      </c>
      <c r="J379" s="5"/>
    </row>
    <row r="380" spans="1:10" ht="26.4" x14ac:dyDescent="0.25">
      <c r="A380" s="19" t="s">
        <v>243</v>
      </c>
      <c r="B380" s="5" t="s">
        <v>244</v>
      </c>
      <c r="C380" s="15">
        <v>3</v>
      </c>
      <c r="D380" s="16" t="s">
        <v>853</v>
      </c>
      <c r="E380" s="19" t="s">
        <v>371</v>
      </c>
      <c r="F380" s="5" t="s">
        <v>854</v>
      </c>
      <c r="G380" s="5"/>
      <c r="H380" s="19"/>
      <c r="I380" s="15" t="s">
        <v>418</v>
      </c>
      <c r="J380" s="5"/>
    </row>
    <row r="381" spans="1:10" ht="26.4" x14ac:dyDescent="0.25">
      <c r="A381" s="19" t="s">
        <v>243</v>
      </c>
      <c r="B381" s="5" t="s">
        <v>244</v>
      </c>
      <c r="C381" s="15">
        <v>4</v>
      </c>
      <c r="D381" s="16" t="s">
        <v>855</v>
      </c>
      <c r="E381" s="19" t="s">
        <v>371</v>
      </c>
      <c r="F381" s="5" t="s">
        <v>856</v>
      </c>
      <c r="G381" s="5"/>
      <c r="H381" s="19"/>
      <c r="I381" s="15" t="s">
        <v>418</v>
      </c>
      <c r="J381" s="5"/>
    </row>
    <row r="382" spans="1:10" ht="26.4" x14ac:dyDescent="0.25">
      <c r="A382" s="19" t="s">
        <v>243</v>
      </c>
      <c r="B382" s="5" t="s">
        <v>244</v>
      </c>
      <c r="C382" s="15">
        <v>5</v>
      </c>
      <c r="D382" s="16" t="s">
        <v>857</v>
      </c>
      <c r="E382" s="19" t="s">
        <v>371</v>
      </c>
      <c r="F382" s="5" t="s">
        <v>858</v>
      </c>
      <c r="G382" s="5"/>
      <c r="H382" s="19"/>
      <c r="I382" s="15" t="s">
        <v>418</v>
      </c>
      <c r="J382" s="5"/>
    </row>
    <row r="383" spans="1:10" ht="26.4" x14ac:dyDescent="0.25">
      <c r="A383" s="19" t="s">
        <v>243</v>
      </c>
      <c r="B383" s="5" t="s">
        <v>244</v>
      </c>
      <c r="C383" s="15">
        <v>6</v>
      </c>
      <c r="D383" s="16" t="s">
        <v>859</v>
      </c>
      <c r="E383" s="19" t="s">
        <v>371</v>
      </c>
      <c r="F383" s="5" t="s">
        <v>860</v>
      </c>
      <c r="G383" s="5"/>
      <c r="H383" s="19"/>
      <c r="I383" s="15" t="s">
        <v>418</v>
      </c>
      <c r="J383" s="5"/>
    </row>
    <row r="384" spans="1:10" ht="26.4" x14ac:dyDescent="0.25">
      <c r="A384" s="19" t="s">
        <v>243</v>
      </c>
      <c r="B384" s="5" t="s">
        <v>244</v>
      </c>
      <c r="C384" s="15">
        <v>7</v>
      </c>
      <c r="D384" s="16" t="s">
        <v>861</v>
      </c>
      <c r="E384" s="19" t="s">
        <v>371</v>
      </c>
      <c r="F384" s="5" t="s">
        <v>862</v>
      </c>
      <c r="G384" s="5"/>
      <c r="H384" s="19"/>
      <c r="I384" s="15" t="s">
        <v>418</v>
      </c>
      <c r="J384" s="5"/>
    </row>
    <row r="385" spans="1:10" ht="26.4" x14ac:dyDescent="0.25">
      <c r="A385" s="19" t="s">
        <v>243</v>
      </c>
      <c r="B385" s="5" t="s">
        <v>244</v>
      </c>
      <c r="C385" s="15">
        <v>8</v>
      </c>
      <c r="D385" s="16" t="s">
        <v>863</v>
      </c>
      <c r="E385" s="19" t="s">
        <v>371</v>
      </c>
      <c r="F385" s="5" t="s">
        <v>864</v>
      </c>
      <c r="G385" s="5"/>
      <c r="H385" s="19"/>
      <c r="I385" s="15" t="s">
        <v>418</v>
      </c>
      <c r="J385" s="5"/>
    </row>
    <row r="386" spans="1:10" ht="26.4" x14ac:dyDescent="0.25">
      <c r="A386" s="19" t="s">
        <v>243</v>
      </c>
      <c r="B386" s="5" t="s">
        <v>244</v>
      </c>
      <c r="C386" s="15">
        <v>9</v>
      </c>
      <c r="D386" s="16" t="s">
        <v>865</v>
      </c>
      <c r="E386" s="19" t="s">
        <v>371</v>
      </c>
      <c r="F386" s="5" t="s">
        <v>866</v>
      </c>
      <c r="G386" s="5"/>
      <c r="H386" s="19"/>
      <c r="I386" s="15" t="s">
        <v>418</v>
      </c>
      <c r="J386" s="5"/>
    </row>
    <row r="387" spans="1:10" ht="26.4" x14ac:dyDescent="0.25">
      <c r="A387" s="19" t="s">
        <v>243</v>
      </c>
      <c r="B387" s="5" t="s">
        <v>244</v>
      </c>
      <c r="C387" s="15">
        <v>10</v>
      </c>
      <c r="D387" s="16" t="s">
        <v>867</v>
      </c>
      <c r="E387" s="19" t="s">
        <v>371</v>
      </c>
      <c r="F387" s="5" t="s">
        <v>868</v>
      </c>
      <c r="G387" s="5"/>
      <c r="H387" s="19"/>
      <c r="I387" s="15" t="s">
        <v>418</v>
      </c>
      <c r="J387" s="5"/>
    </row>
    <row r="388" spans="1:10" ht="26.4" x14ac:dyDescent="0.25">
      <c r="A388" s="19" t="s">
        <v>243</v>
      </c>
      <c r="B388" s="5" t="s">
        <v>244</v>
      </c>
      <c r="C388" s="15">
        <v>11</v>
      </c>
      <c r="D388" s="16" t="s">
        <v>869</v>
      </c>
      <c r="E388" s="19" t="s">
        <v>422</v>
      </c>
      <c r="F388" s="5" t="s">
        <v>870</v>
      </c>
      <c r="G388" s="5"/>
      <c r="H388" s="19"/>
      <c r="I388" s="15" t="s">
        <v>93</v>
      </c>
      <c r="J388" s="7" t="s">
        <v>871</v>
      </c>
    </row>
    <row r="389" spans="1:10" ht="26.4" x14ac:dyDescent="0.25">
      <c r="A389" s="19" t="s">
        <v>243</v>
      </c>
      <c r="B389" s="5" t="s">
        <v>244</v>
      </c>
      <c r="C389" s="15">
        <v>12</v>
      </c>
      <c r="D389" s="16" t="s">
        <v>872</v>
      </c>
      <c r="E389" s="19" t="s">
        <v>619</v>
      </c>
      <c r="F389" s="5" t="s">
        <v>873</v>
      </c>
      <c r="G389" s="5"/>
      <c r="H389" s="19"/>
      <c r="I389" s="15" t="s">
        <v>93</v>
      </c>
      <c r="J389" s="5"/>
    </row>
    <row r="390" spans="1:10" ht="26.4" x14ac:dyDescent="0.25">
      <c r="A390" s="19" t="s">
        <v>243</v>
      </c>
      <c r="B390" s="5" t="s">
        <v>244</v>
      </c>
      <c r="C390" s="15">
        <v>13</v>
      </c>
      <c r="D390" s="16" t="s">
        <v>169</v>
      </c>
      <c r="E390" s="19" t="s">
        <v>371</v>
      </c>
      <c r="F390" s="5" t="s">
        <v>600</v>
      </c>
      <c r="G390" s="5"/>
      <c r="H390" s="19"/>
      <c r="I390" s="15" t="s">
        <v>93</v>
      </c>
      <c r="J390" s="5"/>
    </row>
    <row r="391" spans="1:10" ht="26.4" x14ac:dyDescent="0.25">
      <c r="A391" s="19" t="s">
        <v>243</v>
      </c>
      <c r="B391" s="5" t="s">
        <v>244</v>
      </c>
      <c r="C391" s="15">
        <v>14</v>
      </c>
      <c r="D391" s="16" t="s">
        <v>174</v>
      </c>
      <c r="E391" s="19" t="s">
        <v>371</v>
      </c>
      <c r="F391" s="5" t="s">
        <v>588</v>
      </c>
      <c r="G391" s="5"/>
      <c r="H391" s="19"/>
      <c r="I391" s="15" t="s">
        <v>93</v>
      </c>
      <c r="J391" s="5"/>
    </row>
    <row r="392" spans="1:10" ht="26.4" x14ac:dyDescent="0.25">
      <c r="A392" s="19" t="s">
        <v>243</v>
      </c>
      <c r="B392" s="5" t="s">
        <v>244</v>
      </c>
      <c r="C392" s="15">
        <v>15</v>
      </c>
      <c r="D392" s="16" t="s">
        <v>455</v>
      </c>
      <c r="E392" s="19" t="s">
        <v>337</v>
      </c>
      <c r="F392" s="5" t="s">
        <v>874</v>
      </c>
      <c r="G392" s="5"/>
      <c r="H392" s="19" t="s">
        <v>737</v>
      </c>
      <c r="I392" s="15" t="s">
        <v>418</v>
      </c>
      <c r="J392" s="5"/>
    </row>
    <row r="393" spans="1:10" ht="26.4" x14ac:dyDescent="0.25">
      <c r="A393" s="19" t="s">
        <v>243</v>
      </c>
      <c r="B393" s="5" t="s">
        <v>244</v>
      </c>
      <c r="C393" s="15">
        <v>16</v>
      </c>
      <c r="D393" s="16" t="s">
        <v>875</v>
      </c>
      <c r="E393" s="19" t="s">
        <v>337</v>
      </c>
      <c r="F393" s="5" t="s">
        <v>876</v>
      </c>
      <c r="G393" s="5"/>
      <c r="H393" s="19" t="s">
        <v>877</v>
      </c>
      <c r="I393" s="15" t="s">
        <v>93</v>
      </c>
      <c r="J393" s="5"/>
    </row>
    <row r="394" spans="1:10" ht="26.4" x14ac:dyDescent="0.25">
      <c r="A394" s="19" t="s">
        <v>243</v>
      </c>
      <c r="B394" s="5" t="s">
        <v>244</v>
      </c>
      <c r="C394" s="15">
        <v>17</v>
      </c>
      <c r="D394" s="16" t="s">
        <v>878</v>
      </c>
      <c r="E394" s="19" t="s">
        <v>371</v>
      </c>
      <c r="F394" s="5" t="s">
        <v>879</v>
      </c>
      <c r="G394" s="5"/>
      <c r="H394" s="19"/>
      <c r="I394" s="15" t="s">
        <v>418</v>
      </c>
      <c r="J394" s="5"/>
    </row>
    <row r="395" spans="1:10" ht="26.4" x14ac:dyDescent="0.25">
      <c r="A395" s="19" t="s">
        <v>243</v>
      </c>
      <c r="B395" s="5" t="s">
        <v>244</v>
      </c>
      <c r="C395" s="15">
        <v>18</v>
      </c>
      <c r="D395" s="16" t="s">
        <v>880</v>
      </c>
      <c r="E395" s="19" t="s">
        <v>881</v>
      </c>
      <c r="F395" s="5" t="s">
        <v>882</v>
      </c>
      <c r="G395" s="5"/>
      <c r="H395" s="19"/>
      <c r="I395" s="15" t="s">
        <v>93</v>
      </c>
      <c r="J395" s="7" t="s">
        <v>883</v>
      </c>
    </row>
    <row r="396" spans="1:10" ht="26.4" x14ac:dyDescent="0.25">
      <c r="A396" s="19" t="s">
        <v>248</v>
      </c>
      <c r="B396" s="5" t="s">
        <v>249</v>
      </c>
      <c r="C396" s="15">
        <v>1</v>
      </c>
      <c r="D396" s="16" t="s">
        <v>336</v>
      </c>
      <c r="E396" s="19" t="s">
        <v>337</v>
      </c>
      <c r="F396" s="5" t="s">
        <v>338</v>
      </c>
      <c r="G396" s="5"/>
      <c r="H396" s="19" t="s">
        <v>339</v>
      </c>
      <c r="I396" s="15" t="s">
        <v>93</v>
      </c>
      <c r="J396" s="5"/>
    </row>
    <row r="397" spans="1:10" ht="39.6" x14ac:dyDescent="0.25">
      <c r="A397" s="19" t="s">
        <v>248</v>
      </c>
      <c r="B397" s="5" t="s">
        <v>249</v>
      </c>
      <c r="C397" s="15">
        <v>2</v>
      </c>
      <c r="D397" s="16" t="s">
        <v>884</v>
      </c>
      <c r="E397" s="19" t="s">
        <v>624</v>
      </c>
      <c r="F397" s="5" t="s">
        <v>885</v>
      </c>
      <c r="G397" s="5" t="s">
        <v>886</v>
      </c>
      <c r="H397" s="19"/>
      <c r="I397" s="15" t="s">
        <v>93</v>
      </c>
      <c r="J397" s="5"/>
    </row>
    <row r="398" spans="1:10" ht="26.4" x14ac:dyDescent="0.25">
      <c r="A398" s="19" t="s">
        <v>248</v>
      </c>
      <c r="B398" s="5" t="s">
        <v>249</v>
      </c>
      <c r="C398" s="15">
        <v>3</v>
      </c>
      <c r="D398" s="16" t="s">
        <v>887</v>
      </c>
      <c r="E398" s="19" t="s">
        <v>502</v>
      </c>
      <c r="F398" s="5" t="s">
        <v>888</v>
      </c>
      <c r="G398" s="5"/>
      <c r="H398" s="19"/>
      <c r="I398" s="15" t="s">
        <v>93</v>
      </c>
      <c r="J398" s="7" t="s">
        <v>686</v>
      </c>
    </row>
    <row r="399" spans="1:10" ht="26.4" x14ac:dyDescent="0.25">
      <c r="A399" s="19" t="s">
        <v>248</v>
      </c>
      <c r="B399" s="5" t="s">
        <v>249</v>
      </c>
      <c r="C399" s="15">
        <v>4</v>
      </c>
      <c r="D399" s="16" t="s">
        <v>889</v>
      </c>
      <c r="E399" s="19" t="s">
        <v>502</v>
      </c>
      <c r="F399" s="5" t="s">
        <v>890</v>
      </c>
      <c r="G399" s="5"/>
      <c r="H399" s="19"/>
      <c r="I399" s="15" t="s">
        <v>93</v>
      </c>
      <c r="J399" s="7" t="s">
        <v>686</v>
      </c>
    </row>
    <row r="400" spans="1:10" ht="26.4" x14ac:dyDescent="0.25">
      <c r="A400" s="19" t="s">
        <v>248</v>
      </c>
      <c r="B400" s="5" t="s">
        <v>249</v>
      </c>
      <c r="C400" s="15">
        <v>5</v>
      </c>
      <c r="D400" s="16" t="s">
        <v>577</v>
      </c>
      <c r="E400" s="19" t="s">
        <v>409</v>
      </c>
      <c r="F400" s="5" t="s">
        <v>579</v>
      </c>
      <c r="G400" s="5"/>
      <c r="H400" s="19"/>
      <c r="I400" s="15" t="s">
        <v>93</v>
      </c>
      <c r="J400" s="5"/>
    </row>
    <row r="401" spans="1:10" ht="26.4" x14ac:dyDescent="0.25">
      <c r="A401" s="19" t="s">
        <v>248</v>
      </c>
      <c r="B401" s="5" t="s">
        <v>249</v>
      </c>
      <c r="C401" s="15">
        <v>6</v>
      </c>
      <c r="D401" s="16" t="s">
        <v>891</v>
      </c>
      <c r="E401" s="19" t="s">
        <v>367</v>
      </c>
      <c r="F401" s="5" t="s">
        <v>892</v>
      </c>
      <c r="G401" s="5"/>
      <c r="H401" s="19"/>
      <c r="I401" s="15" t="s">
        <v>418</v>
      </c>
      <c r="J401" s="5"/>
    </row>
    <row r="402" spans="1:10" ht="26.4" x14ac:dyDescent="0.25">
      <c r="A402" s="19" t="s">
        <v>248</v>
      </c>
      <c r="B402" s="5" t="s">
        <v>249</v>
      </c>
      <c r="C402" s="15">
        <v>7</v>
      </c>
      <c r="D402" s="16" t="s">
        <v>893</v>
      </c>
      <c r="E402" s="19" t="s">
        <v>528</v>
      </c>
      <c r="F402" s="5" t="s">
        <v>894</v>
      </c>
      <c r="G402" s="5"/>
      <c r="H402" s="19"/>
      <c r="I402" s="15" t="s">
        <v>418</v>
      </c>
      <c r="J402" s="5"/>
    </row>
    <row r="403" spans="1:10" ht="26.4" x14ac:dyDescent="0.25">
      <c r="A403" s="19" t="s">
        <v>248</v>
      </c>
      <c r="B403" s="5" t="s">
        <v>249</v>
      </c>
      <c r="C403" s="15">
        <v>8</v>
      </c>
      <c r="D403" s="16" t="s">
        <v>663</v>
      </c>
      <c r="E403" s="19" t="s">
        <v>422</v>
      </c>
      <c r="F403" s="5" t="s">
        <v>85</v>
      </c>
      <c r="G403" s="5"/>
      <c r="H403" s="19"/>
      <c r="I403" s="15" t="s">
        <v>93</v>
      </c>
      <c r="J403" s="5"/>
    </row>
    <row r="404" spans="1:10" ht="26.4" x14ac:dyDescent="0.25">
      <c r="A404" s="19" t="s">
        <v>248</v>
      </c>
      <c r="B404" s="5" t="s">
        <v>249</v>
      </c>
      <c r="C404" s="15">
        <v>9</v>
      </c>
      <c r="D404" s="16" t="s">
        <v>161</v>
      </c>
      <c r="E404" s="19" t="s">
        <v>371</v>
      </c>
      <c r="F404" s="5" t="s">
        <v>895</v>
      </c>
      <c r="G404" s="5"/>
      <c r="H404" s="19"/>
      <c r="I404" s="15" t="s">
        <v>93</v>
      </c>
      <c r="J404" s="5"/>
    </row>
    <row r="405" spans="1:10" ht="26.4" x14ac:dyDescent="0.25">
      <c r="A405" s="19" t="s">
        <v>248</v>
      </c>
      <c r="B405" s="5" t="s">
        <v>249</v>
      </c>
      <c r="C405" s="15">
        <v>10</v>
      </c>
      <c r="D405" s="16" t="s">
        <v>896</v>
      </c>
      <c r="E405" s="19" t="s">
        <v>337</v>
      </c>
      <c r="F405" s="5" t="s">
        <v>876</v>
      </c>
      <c r="G405" s="5"/>
      <c r="H405" s="19" t="s">
        <v>897</v>
      </c>
      <c r="I405" s="15" t="s">
        <v>93</v>
      </c>
      <c r="J405" s="5"/>
    </row>
    <row r="406" spans="1:10" ht="26.4" x14ac:dyDescent="0.25">
      <c r="A406" s="19" t="s">
        <v>248</v>
      </c>
      <c r="B406" s="5" t="s">
        <v>249</v>
      </c>
      <c r="C406" s="15">
        <v>11</v>
      </c>
      <c r="D406" s="16" t="s">
        <v>735</v>
      </c>
      <c r="E406" s="19" t="s">
        <v>337</v>
      </c>
      <c r="F406" s="5" t="s">
        <v>898</v>
      </c>
      <c r="G406" s="5"/>
      <c r="H406" s="19" t="s">
        <v>737</v>
      </c>
      <c r="I406" s="15" t="s">
        <v>418</v>
      </c>
      <c r="J406" s="5"/>
    </row>
    <row r="407" spans="1:10" x14ac:dyDescent="0.25">
      <c r="A407" s="19" t="s">
        <v>253</v>
      </c>
      <c r="B407" s="5" t="s">
        <v>254</v>
      </c>
      <c r="C407" s="15">
        <v>1</v>
      </c>
      <c r="D407" s="16" t="s">
        <v>336</v>
      </c>
      <c r="E407" s="19" t="s">
        <v>337</v>
      </c>
      <c r="F407" s="5" t="s">
        <v>338</v>
      </c>
      <c r="G407" s="5"/>
      <c r="H407" s="19" t="s">
        <v>339</v>
      </c>
      <c r="I407" s="15" t="s">
        <v>93</v>
      </c>
      <c r="J407" s="5"/>
    </row>
    <row r="408" spans="1:10" x14ac:dyDescent="0.25">
      <c r="A408" s="19" t="s">
        <v>253</v>
      </c>
      <c r="B408" s="5" t="s">
        <v>254</v>
      </c>
      <c r="C408" s="15">
        <v>2</v>
      </c>
      <c r="D408" s="16" t="s">
        <v>899</v>
      </c>
      <c r="E408" s="19" t="s">
        <v>456</v>
      </c>
      <c r="F408" s="5" t="s">
        <v>900</v>
      </c>
      <c r="G408" s="5"/>
      <c r="H408" s="19" t="s">
        <v>341</v>
      </c>
      <c r="I408" s="15" t="s">
        <v>93</v>
      </c>
      <c r="J408" s="5"/>
    </row>
    <row r="409" spans="1:10" x14ac:dyDescent="0.25">
      <c r="A409" s="19" t="s">
        <v>253</v>
      </c>
      <c r="B409" s="5" t="s">
        <v>254</v>
      </c>
      <c r="C409" s="15">
        <v>3</v>
      </c>
      <c r="D409" s="16" t="s">
        <v>256</v>
      </c>
      <c r="E409" s="19" t="s">
        <v>371</v>
      </c>
      <c r="F409" s="5" t="s">
        <v>901</v>
      </c>
      <c r="G409" s="5"/>
      <c r="H409" s="19"/>
      <c r="I409" s="15" t="s">
        <v>418</v>
      </c>
      <c r="J409" s="5"/>
    </row>
    <row r="410" spans="1:10" x14ac:dyDescent="0.25">
      <c r="A410" s="19" t="s">
        <v>253</v>
      </c>
      <c r="B410" s="5" t="s">
        <v>254</v>
      </c>
      <c r="C410" s="15">
        <v>4</v>
      </c>
      <c r="D410" s="16" t="s">
        <v>902</v>
      </c>
      <c r="E410" s="19" t="s">
        <v>444</v>
      </c>
      <c r="F410" s="5" t="s">
        <v>340</v>
      </c>
      <c r="G410" s="5"/>
      <c r="H410" s="19"/>
      <c r="I410" s="15" t="s">
        <v>93</v>
      </c>
      <c r="J410" s="5"/>
    </row>
    <row r="411" spans="1:10" x14ac:dyDescent="0.25">
      <c r="A411" s="19" t="s">
        <v>253</v>
      </c>
      <c r="B411" s="5" t="s">
        <v>254</v>
      </c>
      <c r="C411" s="15">
        <v>5</v>
      </c>
      <c r="D411" s="16" t="s">
        <v>903</v>
      </c>
      <c r="E411" s="19" t="s">
        <v>409</v>
      </c>
      <c r="F411" s="5" t="s">
        <v>67</v>
      </c>
      <c r="G411" s="5"/>
      <c r="H411" s="19"/>
      <c r="I411" s="15" t="s">
        <v>93</v>
      </c>
      <c r="J411" s="5"/>
    </row>
    <row r="412" spans="1:10" x14ac:dyDescent="0.25">
      <c r="A412" s="19" t="s">
        <v>253</v>
      </c>
      <c r="B412" s="5" t="s">
        <v>254</v>
      </c>
      <c r="C412" s="15">
        <v>6</v>
      </c>
      <c r="D412" s="16" t="s">
        <v>904</v>
      </c>
      <c r="E412" s="19" t="s">
        <v>412</v>
      </c>
      <c r="F412" s="5" t="s">
        <v>905</v>
      </c>
      <c r="G412" s="5"/>
      <c r="H412" s="19"/>
      <c r="I412" s="15" t="s">
        <v>93</v>
      </c>
      <c r="J412" s="5"/>
    </row>
    <row r="413" spans="1:10" x14ac:dyDescent="0.25">
      <c r="A413" s="19" t="s">
        <v>253</v>
      </c>
      <c r="B413" s="5" t="s">
        <v>254</v>
      </c>
      <c r="C413" s="15">
        <v>7</v>
      </c>
      <c r="D413" s="16" t="s">
        <v>906</v>
      </c>
      <c r="E413" s="19" t="s">
        <v>502</v>
      </c>
      <c r="F413" s="5" t="s">
        <v>907</v>
      </c>
      <c r="G413" s="5"/>
      <c r="H413" s="19"/>
      <c r="I413" s="15" t="s">
        <v>93</v>
      </c>
      <c r="J413" s="7" t="s">
        <v>686</v>
      </c>
    </row>
    <row r="414" spans="1:10" x14ac:dyDescent="0.25">
      <c r="A414" s="19" t="s">
        <v>253</v>
      </c>
      <c r="B414" s="5" t="s">
        <v>254</v>
      </c>
      <c r="C414" s="15">
        <v>8</v>
      </c>
      <c r="D414" s="16" t="s">
        <v>691</v>
      </c>
      <c r="E414" s="19" t="s">
        <v>343</v>
      </c>
      <c r="F414" s="5" t="s">
        <v>692</v>
      </c>
      <c r="G414" s="5"/>
      <c r="H414" s="19"/>
      <c r="I414" s="15" t="s">
        <v>93</v>
      </c>
      <c r="J414" s="5"/>
    </row>
    <row r="415" spans="1:10" x14ac:dyDescent="0.25">
      <c r="A415" s="19" t="s">
        <v>253</v>
      </c>
      <c r="B415" s="5" t="s">
        <v>254</v>
      </c>
      <c r="C415" s="15">
        <v>9</v>
      </c>
      <c r="D415" s="16" t="s">
        <v>577</v>
      </c>
      <c r="E415" s="19" t="s">
        <v>446</v>
      </c>
      <c r="F415" s="5" t="s">
        <v>579</v>
      </c>
      <c r="G415" s="5"/>
      <c r="H415" s="19"/>
      <c r="I415" s="15" t="s">
        <v>93</v>
      </c>
      <c r="J415" s="5"/>
    </row>
    <row r="416" spans="1:10" x14ac:dyDescent="0.25">
      <c r="A416" s="19" t="s">
        <v>253</v>
      </c>
      <c r="B416" s="5" t="s">
        <v>254</v>
      </c>
      <c r="C416" s="15">
        <v>10</v>
      </c>
      <c r="D416" s="16" t="s">
        <v>486</v>
      </c>
      <c r="E416" s="19" t="s">
        <v>486</v>
      </c>
      <c r="F416" s="5" t="s">
        <v>908</v>
      </c>
      <c r="G416" s="5"/>
      <c r="H416" s="19"/>
      <c r="I416" s="15" t="s">
        <v>93</v>
      </c>
      <c r="J416" s="7" t="s">
        <v>871</v>
      </c>
    </row>
    <row r="417" spans="1:10" x14ac:dyDescent="0.25">
      <c r="A417" s="19" t="s">
        <v>253</v>
      </c>
      <c r="B417" s="5" t="s">
        <v>254</v>
      </c>
      <c r="C417" s="15">
        <v>11</v>
      </c>
      <c r="D417" s="16" t="s">
        <v>909</v>
      </c>
      <c r="E417" s="19" t="s">
        <v>502</v>
      </c>
      <c r="F417" s="5" t="s">
        <v>910</v>
      </c>
      <c r="G417" s="5"/>
      <c r="H417" s="19"/>
      <c r="I417" s="15" t="s">
        <v>93</v>
      </c>
      <c r="J417" s="5"/>
    </row>
    <row r="418" spans="1:10" x14ac:dyDescent="0.25">
      <c r="A418" s="19" t="s">
        <v>253</v>
      </c>
      <c r="B418" s="5" t="s">
        <v>254</v>
      </c>
      <c r="C418" s="15">
        <v>12</v>
      </c>
      <c r="D418" s="16" t="s">
        <v>443</v>
      </c>
      <c r="E418" s="19" t="s">
        <v>446</v>
      </c>
      <c r="F418" s="5" t="s">
        <v>415</v>
      </c>
      <c r="G418" s="5"/>
      <c r="H418" s="19"/>
      <c r="I418" s="15" t="s">
        <v>93</v>
      </c>
      <c r="J418" s="5"/>
    </row>
    <row r="419" spans="1:10" x14ac:dyDescent="0.25">
      <c r="A419" s="19" t="s">
        <v>253</v>
      </c>
      <c r="B419" s="5" t="s">
        <v>254</v>
      </c>
      <c r="C419" s="15">
        <v>13</v>
      </c>
      <c r="D419" s="16" t="s">
        <v>749</v>
      </c>
      <c r="E419" s="19" t="s">
        <v>446</v>
      </c>
      <c r="F419" s="5" t="s">
        <v>750</v>
      </c>
      <c r="G419" s="5"/>
      <c r="H419" s="19"/>
      <c r="I419" s="15" t="s">
        <v>93</v>
      </c>
      <c r="J419" s="5"/>
    </row>
    <row r="420" spans="1:10" x14ac:dyDescent="0.25">
      <c r="A420" s="19" t="s">
        <v>253</v>
      </c>
      <c r="B420" s="5" t="s">
        <v>254</v>
      </c>
      <c r="C420" s="15">
        <v>14</v>
      </c>
      <c r="D420" s="16" t="s">
        <v>663</v>
      </c>
      <c r="E420" s="19" t="s">
        <v>422</v>
      </c>
      <c r="F420" s="5" t="s">
        <v>85</v>
      </c>
      <c r="G420" s="5"/>
      <c r="H420" s="19"/>
      <c r="I420" s="15" t="s">
        <v>93</v>
      </c>
      <c r="J420" s="5"/>
    </row>
    <row r="421" spans="1:10" x14ac:dyDescent="0.25">
      <c r="A421" s="19" t="s">
        <v>253</v>
      </c>
      <c r="B421" s="5" t="s">
        <v>254</v>
      </c>
      <c r="C421" s="15">
        <v>15</v>
      </c>
      <c r="D421" s="16" t="s">
        <v>169</v>
      </c>
      <c r="E421" s="19" t="s">
        <v>371</v>
      </c>
      <c r="F421" s="5" t="s">
        <v>600</v>
      </c>
      <c r="G421" s="5"/>
      <c r="H421" s="19"/>
      <c r="I421" s="15" t="s">
        <v>93</v>
      </c>
      <c r="J421" s="5"/>
    </row>
    <row r="422" spans="1:10" x14ac:dyDescent="0.25">
      <c r="A422" s="19" t="s">
        <v>259</v>
      </c>
      <c r="B422" s="5" t="s">
        <v>260</v>
      </c>
      <c r="C422" s="15">
        <v>1</v>
      </c>
      <c r="D422" s="16" t="s">
        <v>336</v>
      </c>
      <c r="E422" s="19" t="s">
        <v>337</v>
      </c>
      <c r="F422" s="5" t="s">
        <v>338</v>
      </c>
      <c r="G422" s="5"/>
      <c r="H422" s="19" t="s">
        <v>339</v>
      </c>
      <c r="I422" s="15" t="s">
        <v>93</v>
      </c>
      <c r="J422" s="5"/>
    </row>
    <row r="423" spans="1:10" x14ac:dyDescent="0.25">
      <c r="A423" s="19" t="s">
        <v>259</v>
      </c>
      <c r="B423" s="5" t="s">
        <v>260</v>
      </c>
      <c r="C423" s="15">
        <v>2</v>
      </c>
      <c r="D423" s="16" t="s">
        <v>911</v>
      </c>
      <c r="E423" s="19" t="s">
        <v>376</v>
      </c>
      <c r="F423" s="5" t="s">
        <v>912</v>
      </c>
      <c r="G423" s="5"/>
      <c r="H423" s="19"/>
      <c r="I423" s="15" t="s">
        <v>93</v>
      </c>
      <c r="J423" s="5"/>
    </row>
    <row r="424" spans="1:10" x14ac:dyDescent="0.25">
      <c r="A424" s="19" t="s">
        <v>259</v>
      </c>
      <c r="B424" s="5" t="s">
        <v>260</v>
      </c>
      <c r="C424" s="15">
        <v>3</v>
      </c>
      <c r="D424" s="16" t="s">
        <v>913</v>
      </c>
      <c r="E424" s="19" t="s">
        <v>502</v>
      </c>
      <c r="F424" s="5" t="s">
        <v>914</v>
      </c>
      <c r="G424" s="5"/>
      <c r="H424" s="19"/>
      <c r="I424" s="15" t="s">
        <v>93</v>
      </c>
      <c r="J424" s="5"/>
    </row>
    <row r="425" spans="1:10" x14ac:dyDescent="0.25">
      <c r="A425" s="19" t="s">
        <v>259</v>
      </c>
      <c r="B425" s="5" t="s">
        <v>260</v>
      </c>
      <c r="C425" s="15">
        <v>4</v>
      </c>
      <c r="D425" s="16" t="s">
        <v>915</v>
      </c>
      <c r="E425" s="19" t="s">
        <v>916</v>
      </c>
      <c r="F425" s="5" t="s">
        <v>917</v>
      </c>
      <c r="G425" s="5"/>
      <c r="H425" s="19"/>
      <c r="I425" s="15" t="s">
        <v>418</v>
      </c>
      <c r="J425" s="5"/>
    </row>
    <row r="426" spans="1:10" x14ac:dyDescent="0.25">
      <c r="A426" s="19" t="s">
        <v>259</v>
      </c>
      <c r="B426" s="5" t="s">
        <v>260</v>
      </c>
      <c r="C426" s="15">
        <v>5</v>
      </c>
      <c r="D426" s="16" t="s">
        <v>918</v>
      </c>
      <c r="E426" s="19" t="s">
        <v>916</v>
      </c>
      <c r="F426" s="5" t="s">
        <v>919</v>
      </c>
      <c r="G426" s="5"/>
      <c r="H426" s="19"/>
      <c r="I426" s="15" t="s">
        <v>418</v>
      </c>
      <c r="J426" s="5"/>
    </row>
    <row r="427" spans="1:10" x14ac:dyDescent="0.25">
      <c r="A427" s="19" t="s">
        <v>259</v>
      </c>
      <c r="B427" s="5" t="s">
        <v>260</v>
      </c>
      <c r="C427" s="15">
        <v>6</v>
      </c>
      <c r="D427" s="16" t="s">
        <v>920</v>
      </c>
      <c r="E427" s="19" t="s">
        <v>367</v>
      </c>
      <c r="F427" s="5" t="s">
        <v>921</v>
      </c>
      <c r="G427" s="5"/>
      <c r="H427" s="19"/>
      <c r="I427" s="15" t="s">
        <v>418</v>
      </c>
      <c r="J427" s="5"/>
    </row>
    <row r="428" spans="1:10" x14ac:dyDescent="0.25">
      <c r="A428" s="19" t="s">
        <v>259</v>
      </c>
      <c r="B428" s="5" t="s">
        <v>260</v>
      </c>
      <c r="C428" s="15">
        <v>7</v>
      </c>
      <c r="D428" s="16" t="s">
        <v>922</v>
      </c>
      <c r="E428" s="19" t="s">
        <v>367</v>
      </c>
      <c r="F428" s="5" t="s">
        <v>923</v>
      </c>
      <c r="G428" s="5"/>
      <c r="H428" s="19"/>
      <c r="I428" s="15" t="s">
        <v>418</v>
      </c>
      <c r="J428" s="5"/>
    </row>
    <row r="429" spans="1:10" x14ac:dyDescent="0.25">
      <c r="A429" s="19" t="s">
        <v>259</v>
      </c>
      <c r="B429" s="5" t="s">
        <v>260</v>
      </c>
      <c r="C429" s="15">
        <v>8</v>
      </c>
      <c r="D429" s="16" t="s">
        <v>924</v>
      </c>
      <c r="E429" s="19" t="s">
        <v>367</v>
      </c>
      <c r="F429" s="5" t="s">
        <v>925</v>
      </c>
      <c r="G429" s="5"/>
      <c r="H429" s="19"/>
      <c r="I429" s="15" t="s">
        <v>418</v>
      </c>
      <c r="J429" s="5"/>
    </row>
    <row r="430" spans="1:10" x14ac:dyDescent="0.25">
      <c r="A430" s="19" t="s">
        <v>259</v>
      </c>
      <c r="B430" s="5" t="s">
        <v>260</v>
      </c>
      <c r="C430" s="15">
        <v>9</v>
      </c>
      <c r="D430" s="16" t="s">
        <v>926</v>
      </c>
      <c r="E430" s="19" t="s">
        <v>367</v>
      </c>
      <c r="F430" s="5" t="s">
        <v>927</v>
      </c>
      <c r="G430" s="5"/>
      <c r="H430" s="19"/>
      <c r="I430" s="15" t="s">
        <v>418</v>
      </c>
      <c r="J430" s="5"/>
    </row>
    <row r="431" spans="1:10" ht="26.4" x14ac:dyDescent="0.25">
      <c r="A431" s="19" t="s">
        <v>259</v>
      </c>
      <c r="B431" s="5" t="s">
        <v>260</v>
      </c>
      <c r="C431" s="15">
        <v>10</v>
      </c>
      <c r="D431" s="16" t="s">
        <v>495</v>
      </c>
      <c r="E431" s="19" t="s">
        <v>409</v>
      </c>
      <c r="F431" s="5" t="s">
        <v>497</v>
      </c>
      <c r="G431" s="5" t="s">
        <v>928</v>
      </c>
      <c r="H431" s="19"/>
      <c r="I431" s="15" t="s">
        <v>93</v>
      </c>
      <c r="J431" s="5"/>
    </row>
    <row r="432" spans="1:10" ht="39.6" x14ac:dyDescent="0.25">
      <c r="A432" s="19" t="s">
        <v>259</v>
      </c>
      <c r="B432" s="5" t="s">
        <v>260</v>
      </c>
      <c r="C432" s="15">
        <v>11</v>
      </c>
      <c r="D432" s="16" t="s">
        <v>929</v>
      </c>
      <c r="E432" s="19" t="s">
        <v>409</v>
      </c>
      <c r="F432" s="5" t="s">
        <v>930</v>
      </c>
      <c r="G432" s="5" t="s">
        <v>931</v>
      </c>
      <c r="H432" s="19"/>
      <c r="I432" s="15" t="s">
        <v>93</v>
      </c>
      <c r="J432" s="5"/>
    </row>
    <row r="433" spans="1:10" x14ac:dyDescent="0.25">
      <c r="A433" s="19" t="s">
        <v>259</v>
      </c>
      <c r="B433" s="5" t="s">
        <v>260</v>
      </c>
      <c r="C433" s="15">
        <v>12</v>
      </c>
      <c r="D433" s="16" t="s">
        <v>932</v>
      </c>
      <c r="E433" s="19" t="s">
        <v>376</v>
      </c>
      <c r="F433" s="5" t="s">
        <v>933</v>
      </c>
      <c r="G433" s="5"/>
      <c r="H433" s="19"/>
      <c r="I433" s="15" t="s">
        <v>93</v>
      </c>
      <c r="J433" s="5"/>
    </row>
    <row r="434" spans="1:10" x14ac:dyDescent="0.25">
      <c r="A434" s="19" t="s">
        <v>259</v>
      </c>
      <c r="B434" s="5" t="s">
        <v>260</v>
      </c>
      <c r="C434" s="15">
        <v>13</v>
      </c>
      <c r="D434" s="16" t="s">
        <v>934</v>
      </c>
      <c r="E434" s="19" t="s">
        <v>528</v>
      </c>
      <c r="F434" s="5" t="s">
        <v>935</v>
      </c>
      <c r="G434" s="5"/>
      <c r="H434" s="19"/>
      <c r="I434" s="15" t="s">
        <v>93</v>
      </c>
      <c r="J434" s="5"/>
    </row>
    <row r="435" spans="1:10" x14ac:dyDescent="0.25">
      <c r="A435" s="19" t="s">
        <v>259</v>
      </c>
      <c r="B435" s="5" t="s">
        <v>260</v>
      </c>
      <c r="C435" s="15">
        <v>14</v>
      </c>
      <c r="D435" s="16" t="s">
        <v>936</v>
      </c>
      <c r="E435" s="19" t="s">
        <v>343</v>
      </c>
      <c r="F435" s="5" t="s">
        <v>937</v>
      </c>
      <c r="G435" s="5"/>
      <c r="H435" s="19"/>
      <c r="I435" s="15" t="s">
        <v>93</v>
      </c>
      <c r="J435" s="5"/>
    </row>
    <row r="436" spans="1:10" x14ac:dyDescent="0.25">
      <c r="A436" s="19" t="s">
        <v>259</v>
      </c>
      <c r="B436" s="5" t="s">
        <v>260</v>
      </c>
      <c r="C436" s="15">
        <v>15</v>
      </c>
      <c r="D436" s="16" t="s">
        <v>574</v>
      </c>
      <c r="E436" s="19" t="s">
        <v>502</v>
      </c>
      <c r="F436" s="5" t="s">
        <v>874</v>
      </c>
      <c r="G436" s="5"/>
      <c r="H436" s="19"/>
      <c r="I436" s="15" t="s">
        <v>93</v>
      </c>
      <c r="J436" s="5"/>
    </row>
    <row r="437" spans="1:10" ht="26.4" x14ac:dyDescent="0.25">
      <c r="A437" s="19" t="s">
        <v>259</v>
      </c>
      <c r="B437" s="5" t="s">
        <v>260</v>
      </c>
      <c r="C437" s="15">
        <v>16</v>
      </c>
      <c r="D437" s="16" t="s">
        <v>749</v>
      </c>
      <c r="E437" s="19" t="s">
        <v>409</v>
      </c>
      <c r="F437" s="5" t="s">
        <v>750</v>
      </c>
      <c r="G437" s="5" t="s">
        <v>938</v>
      </c>
      <c r="H437" s="19"/>
      <c r="I437" s="15" t="s">
        <v>93</v>
      </c>
      <c r="J437" s="5"/>
    </row>
    <row r="438" spans="1:10" x14ac:dyDescent="0.25">
      <c r="A438" s="19" t="s">
        <v>259</v>
      </c>
      <c r="B438" s="5" t="s">
        <v>260</v>
      </c>
      <c r="C438" s="15">
        <v>17</v>
      </c>
      <c r="D438" s="16" t="s">
        <v>939</v>
      </c>
      <c r="E438" s="19" t="s">
        <v>486</v>
      </c>
      <c r="F438" s="5" t="s">
        <v>940</v>
      </c>
      <c r="G438" s="5"/>
      <c r="H438" s="19"/>
      <c r="I438" s="15" t="s">
        <v>93</v>
      </c>
      <c r="J438" s="7" t="s">
        <v>871</v>
      </c>
    </row>
    <row r="439" spans="1:10" x14ac:dyDescent="0.25">
      <c r="A439" s="19" t="s">
        <v>259</v>
      </c>
      <c r="B439" s="5" t="s">
        <v>260</v>
      </c>
      <c r="C439" s="15">
        <v>18</v>
      </c>
      <c r="D439" s="16" t="s">
        <v>941</v>
      </c>
      <c r="E439" s="19" t="s">
        <v>409</v>
      </c>
      <c r="F439" s="5" t="s">
        <v>942</v>
      </c>
      <c r="G439" s="5"/>
      <c r="H439" s="19"/>
      <c r="I439" s="15" t="s">
        <v>93</v>
      </c>
      <c r="J439" s="5"/>
    </row>
    <row r="440" spans="1:10" x14ac:dyDescent="0.25">
      <c r="A440" s="19" t="s">
        <v>259</v>
      </c>
      <c r="B440" s="5" t="s">
        <v>260</v>
      </c>
      <c r="C440" s="15">
        <v>19</v>
      </c>
      <c r="D440" s="16" t="s">
        <v>663</v>
      </c>
      <c r="E440" s="19" t="s">
        <v>486</v>
      </c>
      <c r="F440" s="5" t="s">
        <v>85</v>
      </c>
      <c r="G440" s="5"/>
      <c r="H440" s="19"/>
      <c r="I440" s="15" t="s">
        <v>93</v>
      </c>
      <c r="J440" s="7" t="s">
        <v>85</v>
      </c>
    </row>
    <row r="441" spans="1:10" x14ac:dyDescent="0.25">
      <c r="A441" s="19" t="s">
        <v>259</v>
      </c>
      <c r="B441" s="5" t="s">
        <v>260</v>
      </c>
      <c r="C441" s="15">
        <v>20</v>
      </c>
      <c r="D441" s="16" t="s">
        <v>169</v>
      </c>
      <c r="E441" s="19" t="s">
        <v>371</v>
      </c>
      <c r="F441" s="5" t="s">
        <v>943</v>
      </c>
      <c r="G441" s="5"/>
      <c r="H441" s="19"/>
      <c r="I441" s="15" t="s">
        <v>93</v>
      </c>
      <c r="J441" s="5"/>
    </row>
    <row r="442" spans="1:10" x14ac:dyDescent="0.25">
      <c r="A442" s="19" t="s">
        <v>259</v>
      </c>
      <c r="B442" s="5" t="s">
        <v>260</v>
      </c>
      <c r="C442" s="15">
        <v>21</v>
      </c>
      <c r="D442" s="16" t="s">
        <v>174</v>
      </c>
      <c r="E442" s="19" t="s">
        <v>371</v>
      </c>
      <c r="F442" s="5" t="s">
        <v>944</v>
      </c>
      <c r="G442" s="5"/>
      <c r="H442" s="19"/>
      <c r="I442" s="15" t="s">
        <v>93</v>
      </c>
      <c r="J442" s="5"/>
    </row>
    <row r="443" spans="1:10" x14ac:dyDescent="0.25">
      <c r="A443" s="19" t="s">
        <v>259</v>
      </c>
      <c r="B443" s="5" t="s">
        <v>260</v>
      </c>
      <c r="C443" s="15">
        <v>22</v>
      </c>
      <c r="D443" s="16" t="s">
        <v>945</v>
      </c>
      <c r="E443" s="19" t="s">
        <v>371</v>
      </c>
      <c r="F443" s="5" t="s">
        <v>946</v>
      </c>
      <c r="G443" s="5"/>
      <c r="H443" s="19"/>
      <c r="I443" s="15" t="s">
        <v>418</v>
      </c>
      <c r="J443" s="5"/>
    </row>
    <row r="444" spans="1:10" x14ac:dyDescent="0.25">
      <c r="A444" s="19" t="s">
        <v>259</v>
      </c>
      <c r="B444" s="5" t="s">
        <v>260</v>
      </c>
      <c r="C444" s="15">
        <v>23</v>
      </c>
      <c r="D444" s="16" t="s">
        <v>875</v>
      </c>
      <c r="E444" s="19" t="s">
        <v>337</v>
      </c>
      <c r="F444" s="5" t="s">
        <v>876</v>
      </c>
      <c r="G444" s="5"/>
      <c r="H444" s="19" t="s">
        <v>947</v>
      </c>
      <c r="I444" s="15" t="s">
        <v>418</v>
      </c>
      <c r="J444" s="5"/>
    </row>
    <row r="445" spans="1:10" x14ac:dyDescent="0.25">
      <c r="A445" s="19" t="s">
        <v>259</v>
      </c>
      <c r="B445" s="5" t="s">
        <v>260</v>
      </c>
      <c r="C445" s="15">
        <v>24</v>
      </c>
      <c r="D445" s="16" t="s">
        <v>948</v>
      </c>
      <c r="E445" s="19" t="s">
        <v>502</v>
      </c>
      <c r="F445" s="5" t="s">
        <v>949</v>
      </c>
      <c r="G445" s="5"/>
      <c r="H445" s="19"/>
      <c r="I445" s="15" t="s">
        <v>93</v>
      </c>
      <c r="J445" s="5"/>
    </row>
    <row r="446" spans="1:10" x14ac:dyDescent="0.25">
      <c r="A446" s="19" t="s">
        <v>259</v>
      </c>
      <c r="B446" s="5" t="s">
        <v>260</v>
      </c>
      <c r="C446" s="15">
        <v>25</v>
      </c>
      <c r="D446" s="16" t="s">
        <v>950</v>
      </c>
      <c r="E446" s="19" t="s">
        <v>456</v>
      </c>
      <c r="F446" s="5" t="s">
        <v>951</v>
      </c>
      <c r="G446" s="5"/>
      <c r="H446" s="19"/>
      <c r="I446" s="15" t="s">
        <v>93</v>
      </c>
      <c r="J446" s="7" t="s">
        <v>952</v>
      </c>
    </row>
    <row r="447" spans="1:10" x14ac:dyDescent="0.25">
      <c r="A447" s="19" t="s">
        <v>259</v>
      </c>
      <c r="B447" s="5" t="s">
        <v>260</v>
      </c>
      <c r="C447" s="15">
        <v>26</v>
      </c>
      <c r="D447" s="16" t="s">
        <v>953</v>
      </c>
      <c r="E447" s="19" t="s">
        <v>456</v>
      </c>
      <c r="F447" s="5" t="s">
        <v>954</v>
      </c>
      <c r="G447" s="5"/>
      <c r="H447" s="19"/>
      <c r="I447" s="15" t="s">
        <v>93</v>
      </c>
      <c r="J447" s="7" t="s">
        <v>686</v>
      </c>
    </row>
    <row r="448" spans="1:10" x14ac:dyDescent="0.25">
      <c r="A448" s="19" t="s">
        <v>263</v>
      </c>
      <c r="B448" s="5" t="s">
        <v>264</v>
      </c>
      <c r="C448" s="15">
        <v>1</v>
      </c>
      <c r="D448" s="16" t="s">
        <v>336</v>
      </c>
      <c r="E448" s="19" t="s">
        <v>337</v>
      </c>
      <c r="F448" s="5" t="s">
        <v>338</v>
      </c>
      <c r="G448" s="5"/>
      <c r="H448" s="19" t="s">
        <v>339</v>
      </c>
      <c r="I448" s="15" t="s">
        <v>93</v>
      </c>
      <c r="J448" s="5"/>
    </row>
    <row r="449" spans="1:10" x14ac:dyDescent="0.25">
      <c r="A449" s="19" t="s">
        <v>263</v>
      </c>
      <c r="B449" s="5" t="s">
        <v>264</v>
      </c>
      <c r="C449" s="15">
        <v>2</v>
      </c>
      <c r="D449" s="16" t="s">
        <v>955</v>
      </c>
      <c r="E449" s="19" t="s">
        <v>409</v>
      </c>
      <c r="F449" s="5" t="s">
        <v>956</v>
      </c>
      <c r="G449" s="5" t="s">
        <v>957</v>
      </c>
      <c r="H449" s="19"/>
      <c r="I449" s="15" t="s">
        <v>93</v>
      </c>
      <c r="J449" s="5"/>
    </row>
    <row r="450" spans="1:10" x14ac:dyDescent="0.25">
      <c r="A450" s="19" t="s">
        <v>263</v>
      </c>
      <c r="B450" s="5" t="s">
        <v>264</v>
      </c>
      <c r="C450" s="15">
        <v>3</v>
      </c>
      <c r="D450" s="16" t="s">
        <v>958</v>
      </c>
      <c r="E450" s="19" t="s">
        <v>412</v>
      </c>
      <c r="F450" s="5" t="s">
        <v>959</v>
      </c>
      <c r="G450" s="5"/>
      <c r="H450" s="19"/>
      <c r="I450" s="15" t="s">
        <v>93</v>
      </c>
      <c r="J450" s="5"/>
    </row>
    <row r="451" spans="1:10" x14ac:dyDescent="0.25">
      <c r="A451" s="19" t="s">
        <v>263</v>
      </c>
      <c r="B451" s="5" t="s">
        <v>264</v>
      </c>
      <c r="C451" s="15">
        <v>4</v>
      </c>
      <c r="D451" s="16" t="s">
        <v>960</v>
      </c>
      <c r="E451" s="19" t="s">
        <v>817</v>
      </c>
      <c r="F451" s="5" t="s">
        <v>961</v>
      </c>
      <c r="G451" s="5"/>
      <c r="H451" s="19" t="s">
        <v>341</v>
      </c>
      <c r="I451" s="15" t="s">
        <v>93</v>
      </c>
      <c r="J451" s="5"/>
    </row>
    <row r="452" spans="1:10" x14ac:dyDescent="0.25">
      <c r="A452" s="19" t="s">
        <v>263</v>
      </c>
      <c r="B452" s="5" t="s">
        <v>264</v>
      </c>
      <c r="C452" s="15">
        <v>5</v>
      </c>
      <c r="D452" s="16" t="s">
        <v>962</v>
      </c>
      <c r="E452" s="19" t="s">
        <v>412</v>
      </c>
      <c r="F452" s="5" t="s">
        <v>963</v>
      </c>
      <c r="G452" s="5"/>
      <c r="H452" s="19"/>
      <c r="I452" s="15" t="s">
        <v>93</v>
      </c>
      <c r="J452" s="7" t="s">
        <v>964</v>
      </c>
    </row>
    <row r="453" spans="1:10" x14ac:dyDescent="0.25">
      <c r="A453" s="19" t="s">
        <v>263</v>
      </c>
      <c r="B453" s="5" t="s">
        <v>264</v>
      </c>
      <c r="C453" s="15">
        <v>6</v>
      </c>
      <c r="D453" s="16" t="s">
        <v>965</v>
      </c>
      <c r="E453" s="19" t="s">
        <v>456</v>
      </c>
      <c r="F453" s="5" t="s">
        <v>966</v>
      </c>
      <c r="G453" s="5"/>
      <c r="H453" s="19"/>
      <c r="I453" s="15" t="s">
        <v>93</v>
      </c>
      <c r="J453" s="7" t="s">
        <v>686</v>
      </c>
    </row>
    <row r="454" spans="1:10" x14ac:dyDescent="0.25">
      <c r="A454" s="19" t="s">
        <v>263</v>
      </c>
      <c r="B454" s="5" t="s">
        <v>264</v>
      </c>
      <c r="C454" s="15">
        <v>7</v>
      </c>
      <c r="D454" s="16" t="s">
        <v>967</v>
      </c>
      <c r="E454" s="19" t="s">
        <v>624</v>
      </c>
      <c r="F454" s="5" t="s">
        <v>415</v>
      </c>
      <c r="G454" s="5"/>
      <c r="H454" s="19"/>
      <c r="I454" s="15" t="s">
        <v>93</v>
      </c>
      <c r="J454" s="5"/>
    </row>
    <row r="455" spans="1:10" x14ac:dyDescent="0.25">
      <c r="A455" s="19" t="s">
        <v>263</v>
      </c>
      <c r="B455" s="5" t="s">
        <v>264</v>
      </c>
      <c r="C455" s="15">
        <v>8</v>
      </c>
      <c r="D455" s="16" t="s">
        <v>486</v>
      </c>
      <c r="E455" s="19" t="s">
        <v>486</v>
      </c>
      <c r="F455" s="5" t="s">
        <v>908</v>
      </c>
      <c r="G455" s="5"/>
      <c r="H455" s="19"/>
      <c r="I455" s="15" t="s">
        <v>93</v>
      </c>
      <c r="J455" s="7" t="s">
        <v>871</v>
      </c>
    </row>
    <row r="456" spans="1:10" x14ac:dyDescent="0.25">
      <c r="A456" s="19" t="s">
        <v>263</v>
      </c>
      <c r="B456" s="5" t="s">
        <v>264</v>
      </c>
      <c r="C456" s="15">
        <v>9</v>
      </c>
      <c r="D456" s="16" t="s">
        <v>968</v>
      </c>
      <c r="E456" s="19" t="s">
        <v>376</v>
      </c>
      <c r="F456" s="5" t="s">
        <v>969</v>
      </c>
      <c r="G456" s="5"/>
      <c r="H456" s="19"/>
      <c r="I456" s="15" t="s">
        <v>93</v>
      </c>
      <c r="J456" s="5"/>
    </row>
    <row r="457" spans="1:10" ht="26.4" x14ac:dyDescent="0.25">
      <c r="A457" s="19" t="s">
        <v>263</v>
      </c>
      <c r="B457" s="5" t="s">
        <v>264</v>
      </c>
      <c r="C457" s="15">
        <v>10</v>
      </c>
      <c r="D457" s="16" t="s">
        <v>664</v>
      </c>
      <c r="E457" s="19" t="s">
        <v>388</v>
      </c>
      <c r="F457" s="5" t="s">
        <v>970</v>
      </c>
      <c r="G457" s="5"/>
      <c r="H457" s="19"/>
      <c r="I457" s="15" t="s">
        <v>93</v>
      </c>
      <c r="J457" s="7" t="s">
        <v>532</v>
      </c>
    </row>
    <row r="458" spans="1:10" x14ac:dyDescent="0.25">
      <c r="A458" s="19" t="s">
        <v>263</v>
      </c>
      <c r="B458" s="5" t="s">
        <v>264</v>
      </c>
      <c r="C458" s="15">
        <v>11</v>
      </c>
      <c r="D458" s="16" t="s">
        <v>971</v>
      </c>
      <c r="E458" s="19" t="s">
        <v>528</v>
      </c>
      <c r="F458" s="5" t="s">
        <v>972</v>
      </c>
      <c r="G458" s="5"/>
      <c r="H458" s="19"/>
      <c r="I458" s="15" t="s">
        <v>93</v>
      </c>
      <c r="J458" s="5"/>
    </row>
    <row r="459" spans="1:10" x14ac:dyDescent="0.25">
      <c r="A459" s="19" t="s">
        <v>263</v>
      </c>
      <c r="B459" s="5" t="s">
        <v>264</v>
      </c>
      <c r="C459" s="15">
        <v>12</v>
      </c>
      <c r="D459" s="16" t="s">
        <v>973</v>
      </c>
      <c r="E459" s="19" t="s">
        <v>422</v>
      </c>
      <c r="F459" s="5" t="s">
        <v>974</v>
      </c>
      <c r="G459" s="5"/>
      <c r="H459" s="19"/>
      <c r="I459" s="15" t="s">
        <v>93</v>
      </c>
      <c r="J459" s="5"/>
    </row>
    <row r="460" spans="1:10" x14ac:dyDescent="0.25">
      <c r="A460" s="19" t="s">
        <v>263</v>
      </c>
      <c r="B460" s="5" t="s">
        <v>264</v>
      </c>
      <c r="C460" s="15">
        <v>13</v>
      </c>
      <c r="D460" s="16" t="s">
        <v>948</v>
      </c>
      <c r="E460" s="19" t="s">
        <v>561</v>
      </c>
      <c r="F460" s="5" t="s">
        <v>396</v>
      </c>
      <c r="G460" s="5"/>
      <c r="H460" s="19"/>
      <c r="I460" s="15" t="s">
        <v>93</v>
      </c>
      <c r="J460" s="5"/>
    </row>
    <row r="461" spans="1:10" x14ac:dyDescent="0.25">
      <c r="A461" s="19" t="s">
        <v>263</v>
      </c>
      <c r="B461" s="5" t="s">
        <v>264</v>
      </c>
      <c r="C461" s="15">
        <v>14</v>
      </c>
      <c r="D461" s="16" t="s">
        <v>975</v>
      </c>
      <c r="E461" s="19" t="s">
        <v>619</v>
      </c>
      <c r="F461" s="5" t="s">
        <v>976</v>
      </c>
      <c r="G461" s="5" t="s">
        <v>977</v>
      </c>
      <c r="H461" s="19"/>
      <c r="I461" s="15" t="s">
        <v>93</v>
      </c>
      <c r="J461" s="5"/>
    </row>
    <row r="462" spans="1:10" x14ac:dyDescent="0.25">
      <c r="A462" s="19" t="s">
        <v>263</v>
      </c>
      <c r="B462" s="5" t="s">
        <v>264</v>
      </c>
      <c r="C462" s="15">
        <v>15</v>
      </c>
      <c r="D462" s="16" t="s">
        <v>978</v>
      </c>
      <c r="E462" s="19" t="s">
        <v>502</v>
      </c>
      <c r="F462" s="5" t="s">
        <v>979</v>
      </c>
      <c r="G462" s="5"/>
      <c r="H462" s="19"/>
      <c r="I462" s="15" t="s">
        <v>93</v>
      </c>
      <c r="J462" s="7" t="s">
        <v>686</v>
      </c>
    </row>
    <row r="463" spans="1:10" x14ac:dyDescent="0.25">
      <c r="A463" s="19" t="s">
        <v>263</v>
      </c>
      <c r="B463" s="5" t="s">
        <v>264</v>
      </c>
      <c r="C463" s="15">
        <v>16</v>
      </c>
      <c r="D463" s="16" t="s">
        <v>980</v>
      </c>
      <c r="E463" s="19" t="s">
        <v>422</v>
      </c>
      <c r="F463" s="5" t="s">
        <v>981</v>
      </c>
      <c r="G463" s="5"/>
      <c r="H463" s="19"/>
      <c r="I463" s="15" t="s">
        <v>93</v>
      </c>
      <c r="J463" s="5"/>
    </row>
    <row r="464" spans="1:10" x14ac:dyDescent="0.25">
      <c r="A464" s="19" t="s">
        <v>263</v>
      </c>
      <c r="B464" s="5" t="s">
        <v>264</v>
      </c>
      <c r="C464" s="15">
        <v>17</v>
      </c>
      <c r="D464" s="16" t="s">
        <v>256</v>
      </c>
      <c r="E464" s="19" t="s">
        <v>371</v>
      </c>
      <c r="F464" s="5" t="s">
        <v>982</v>
      </c>
      <c r="G464" s="5"/>
      <c r="H464" s="19"/>
      <c r="I464" s="15" t="s">
        <v>418</v>
      </c>
      <c r="J464" s="5"/>
    </row>
    <row r="465" spans="1:10" x14ac:dyDescent="0.25">
      <c r="A465" s="19" t="s">
        <v>263</v>
      </c>
      <c r="B465" s="5" t="s">
        <v>264</v>
      </c>
      <c r="C465" s="15">
        <v>18</v>
      </c>
      <c r="D465" s="16" t="s">
        <v>169</v>
      </c>
      <c r="E465" s="19" t="s">
        <v>371</v>
      </c>
      <c r="F465" s="5" t="s">
        <v>600</v>
      </c>
      <c r="G465" s="5"/>
      <c r="H465" s="19"/>
      <c r="I465" s="15" t="s">
        <v>93</v>
      </c>
      <c r="J465" s="5"/>
    </row>
    <row r="466" spans="1:10" x14ac:dyDescent="0.25">
      <c r="A466" s="19" t="s">
        <v>263</v>
      </c>
      <c r="B466" s="5" t="s">
        <v>264</v>
      </c>
      <c r="C466" s="15">
        <v>19</v>
      </c>
      <c r="D466" s="16" t="s">
        <v>983</v>
      </c>
      <c r="E466" s="19" t="s">
        <v>337</v>
      </c>
      <c r="F466" s="5" t="s">
        <v>984</v>
      </c>
      <c r="G466" s="5"/>
      <c r="H466" s="19" t="s">
        <v>737</v>
      </c>
      <c r="I466" s="15" t="s">
        <v>418</v>
      </c>
      <c r="J466" s="5"/>
    </row>
    <row r="467" spans="1:10" x14ac:dyDescent="0.25">
      <c r="A467" s="19" t="s">
        <v>268</v>
      </c>
      <c r="B467" s="5" t="s">
        <v>269</v>
      </c>
      <c r="C467" s="15">
        <v>1</v>
      </c>
      <c r="D467" s="16" t="s">
        <v>336</v>
      </c>
      <c r="E467" s="19" t="s">
        <v>337</v>
      </c>
      <c r="F467" s="5" t="s">
        <v>338</v>
      </c>
      <c r="G467" s="5"/>
      <c r="H467" s="19" t="s">
        <v>339</v>
      </c>
      <c r="I467" s="15" t="s">
        <v>93</v>
      </c>
      <c r="J467" s="5"/>
    </row>
    <row r="468" spans="1:10" x14ac:dyDescent="0.25">
      <c r="A468" s="19" t="s">
        <v>268</v>
      </c>
      <c r="B468" s="5" t="s">
        <v>269</v>
      </c>
      <c r="C468" s="15">
        <v>2</v>
      </c>
      <c r="D468" s="16" t="s">
        <v>715</v>
      </c>
      <c r="E468" s="19" t="s">
        <v>412</v>
      </c>
      <c r="F468" s="5" t="s">
        <v>985</v>
      </c>
      <c r="G468" s="5"/>
      <c r="H468" s="19" t="s">
        <v>341</v>
      </c>
      <c r="I468" s="15" t="s">
        <v>93</v>
      </c>
      <c r="J468" s="7" t="s">
        <v>964</v>
      </c>
    </row>
    <row r="469" spans="1:10" x14ac:dyDescent="0.25">
      <c r="A469" s="19" t="s">
        <v>268</v>
      </c>
      <c r="B469" s="5" t="s">
        <v>269</v>
      </c>
      <c r="C469" s="15">
        <v>3</v>
      </c>
      <c r="D469" s="16" t="s">
        <v>477</v>
      </c>
      <c r="E469" s="19" t="s">
        <v>456</v>
      </c>
      <c r="F469" s="5" t="s">
        <v>986</v>
      </c>
      <c r="G469" s="5"/>
      <c r="H469" s="19"/>
      <c r="I469" s="15" t="s">
        <v>93</v>
      </c>
      <c r="J469" s="7" t="s">
        <v>686</v>
      </c>
    </row>
    <row r="470" spans="1:10" x14ac:dyDescent="0.25">
      <c r="A470" s="19" t="s">
        <v>268</v>
      </c>
      <c r="B470" s="5" t="s">
        <v>269</v>
      </c>
      <c r="C470" s="15">
        <v>4</v>
      </c>
      <c r="D470" s="16" t="s">
        <v>738</v>
      </c>
      <c r="E470" s="19" t="s">
        <v>502</v>
      </c>
      <c r="F470" s="5" t="s">
        <v>987</v>
      </c>
      <c r="G470" s="5"/>
      <c r="H470" s="19"/>
      <c r="I470" s="15" t="s">
        <v>93</v>
      </c>
      <c r="J470" s="7" t="s">
        <v>686</v>
      </c>
    </row>
    <row r="471" spans="1:10" x14ac:dyDescent="0.25">
      <c r="A471" s="19" t="s">
        <v>268</v>
      </c>
      <c r="B471" s="5" t="s">
        <v>269</v>
      </c>
      <c r="C471" s="15">
        <v>5</v>
      </c>
      <c r="D471" s="16" t="s">
        <v>988</v>
      </c>
      <c r="E471" s="19" t="s">
        <v>528</v>
      </c>
      <c r="F471" s="5" t="s">
        <v>989</v>
      </c>
      <c r="G471" s="5"/>
      <c r="H471" s="19"/>
      <c r="I471" s="15" t="s">
        <v>93</v>
      </c>
      <c r="J471" s="5"/>
    </row>
    <row r="472" spans="1:10" x14ac:dyDescent="0.25">
      <c r="A472" s="19" t="s">
        <v>268</v>
      </c>
      <c r="B472" s="5" t="s">
        <v>269</v>
      </c>
      <c r="C472" s="15">
        <v>6</v>
      </c>
      <c r="D472" s="16" t="s">
        <v>749</v>
      </c>
      <c r="E472" s="19" t="s">
        <v>409</v>
      </c>
      <c r="F472" s="5" t="s">
        <v>990</v>
      </c>
      <c r="G472" s="5" t="s">
        <v>991</v>
      </c>
      <c r="H472" s="19"/>
      <c r="I472" s="15" t="s">
        <v>93</v>
      </c>
      <c r="J472" s="5"/>
    </row>
    <row r="473" spans="1:10" x14ac:dyDescent="0.25">
      <c r="A473" s="19" t="s">
        <v>268</v>
      </c>
      <c r="B473" s="5" t="s">
        <v>269</v>
      </c>
      <c r="C473" s="15">
        <v>7</v>
      </c>
      <c r="D473" s="16" t="s">
        <v>948</v>
      </c>
      <c r="E473" s="19" t="s">
        <v>561</v>
      </c>
      <c r="F473" s="5" t="s">
        <v>396</v>
      </c>
      <c r="G473" s="5"/>
      <c r="H473" s="19" t="s">
        <v>341</v>
      </c>
      <c r="I473" s="15" t="s">
        <v>93</v>
      </c>
      <c r="J473" s="5"/>
    </row>
    <row r="474" spans="1:10" x14ac:dyDescent="0.25">
      <c r="A474" s="19" t="s">
        <v>268</v>
      </c>
      <c r="B474" s="5" t="s">
        <v>269</v>
      </c>
      <c r="C474" s="15">
        <v>8</v>
      </c>
      <c r="D474" s="16" t="s">
        <v>958</v>
      </c>
      <c r="E474" s="19" t="s">
        <v>412</v>
      </c>
      <c r="F474" s="5" t="s">
        <v>959</v>
      </c>
      <c r="G474" s="5"/>
      <c r="H474" s="19"/>
      <c r="I474" s="15" t="s">
        <v>93</v>
      </c>
      <c r="J474" s="5"/>
    </row>
    <row r="475" spans="1:10" x14ac:dyDescent="0.25">
      <c r="A475" s="19" t="s">
        <v>268</v>
      </c>
      <c r="B475" s="5" t="s">
        <v>269</v>
      </c>
      <c r="C475" s="15">
        <v>9</v>
      </c>
      <c r="D475" s="16" t="s">
        <v>992</v>
      </c>
      <c r="E475" s="19" t="s">
        <v>376</v>
      </c>
      <c r="F475" s="5" t="s">
        <v>993</v>
      </c>
      <c r="G475" s="5"/>
      <c r="H475" s="19"/>
      <c r="I475" s="15" t="s">
        <v>93</v>
      </c>
      <c r="J475" s="7" t="s">
        <v>994</v>
      </c>
    </row>
    <row r="476" spans="1:10" x14ac:dyDescent="0.25">
      <c r="A476" s="19" t="s">
        <v>268</v>
      </c>
      <c r="B476" s="5" t="s">
        <v>269</v>
      </c>
      <c r="C476" s="15">
        <v>10</v>
      </c>
      <c r="D476" s="16" t="s">
        <v>995</v>
      </c>
      <c r="E476" s="19" t="s">
        <v>371</v>
      </c>
      <c r="F476" s="5" t="s">
        <v>996</v>
      </c>
      <c r="G476" s="5"/>
      <c r="H476" s="19"/>
      <c r="I476" s="15" t="s">
        <v>418</v>
      </c>
      <c r="J476" s="5"/>
    </row>
    <row r="477" spans="1:10" x14ac:dyDescent="0.25">
      <c r="A477" s="19" t="s">
        <v>268</v>
      </c>
      <c r="B477" s="5" t="s">
        <v>269</v>
      </c>
      <c r="C477" s="15">
        <v>11</v>
      </c>
      <c r="D477" s="16" t="s">
        <v>997</v>
      </c>
      <c r="E477" s="19" t="s">
        <v>367</v>
      </c>
      <c r="F477" s="5" t="s">
        <v>998</v>
      </c>
      <c r="G477" s="5"/>
      <c r="H477" s="19"/>
      <c r="I477" s="15" t="s">
        <v>93</v>
      </c>
      <c r="J477" s="5"/>
    </row>
    <row r="478" spans="1:10" x14ac:dyDescent="0.25">
      <c r="A478" s="19" t="s">
        <v>268</v>
      </c>
      <c r="B478" s="5" t="s">
        <v>269</v>
      </c>
      <c r="C478" s="15">
        <v>12</v>
      </c>
      <c r="D478" s="16" t="s">
        <v>272</v>
      </c>
      <c r="E478" s="19" t="s">
        <v>371</v>
      </c>
      <c r="F478" s="5" t="s">
        <v>999</v>
      </c>
      <c r="G478" s="5"/>
      <c r="H478" s="19"/>
      <c r="I478" s="15" t="s">
        <v>93</v>
      </c>
      <c r="J478" s="5"/>
    </row>
    <row r="479" spans="1:10" x14ac:dyDescent="0.25">
      <c r="A479" s="19" t="s">
        <v>268</v>
      </c>
      <c r="B479" s="5" t="s">
        <v>269</v>
      </c>
      <c r="C479" s="15">
        <v>13</v>
      </c>
      <c r="D479" s="16" t="s">
        <v>201</v>
      </c>
      <c r="E479" s="19" t="s">
        <v>371</v>
      </c>
      <c r="F479" s="5" t="s">
        <v>1000</v>
      </c>
      <c r="G479" s="5"/>
      <c r="H479" s="19"/>
      <c r="I479" s="15" t="s">
        <v>93</v>
      </c>
      <c r="J479" s="5"/>
    </row>
    <row r="480" spans="1:10" x14ac:dyDescent="0.25">
      <c r="A480" s="19" t="s">
        <v>268</v>
      </c>
      <c r="B480" s="5" t="s">
        <v>269</v>
      </c>
      <c r="C480" s="15">
        <v>14</v>
      </c>
      <c r="D480" s="16" t="s">
        <v>115</v>
      </c>
      <c r="E480" s="19" t="s">
        <v>371</v>
      </c>
      <c r="F480" s="5" t="s">
        <v>392</v>
      </c>
      <c r="G480" s="5"/>
      <c r="H480" s="19"/>
      <c r="I480" s="15" t="s">
        <v>418</v>
      </c>
      <c r="J480" s="5"/>
    </row>
    <row r="481" spans="1:10" ht="26.4" x14ac:dyDescent="0.25">
      <c r="A481" s="19" t="s">
        <v>268</v>
      </c>
      <c r="B481" s="5" t="s">
        <v>269</v>
      </c>
      <c r="C481" s="15">
        <v>15</v>
      </c>
      <c r="D481" s="16" t="s">
        <v>533</v>
      </c>
      <c r="E481" s="19" t="s">
        <v>388</v>
      </c>
      <c r="F481" s="5" t="s">
        <v>1001</v>
      </c>
      <c r="G481" s="5"/>
      <c r="H481" s="19"/>
      <c r="I481" s="15" t="s">
        <v>93</v>
      </c>
      <c r="J481" s="7" t="s">
        <v>532</v>
      </c>
    </row>
    <row r="482" spans="1:10" x14ac:dyDescent="0.25">
      <c r="A482" s="19" t="s">
        <v>268</v>
      </c>
      <c r="B482" s="5" t="s">
        <v>269</v>
      </c>
      <c r="C482" s="15">
        <v>16</v>
      </c>
      <c r="D482" s="16" t="s">
        <v>735</v>
      </c>
      <c r="E482" s="19" t="s">
        <v>337</v>
      </c>
      <c r="F482" s="5" t="s">
        <v>1002</v>
      </c>
      <c r="G482" s="5"/>
      <c r="H482" s="19" t="s">
        <v>737</v>
      </c>
      <c r="I482" s="15" t="s">
        <v>418</v>
      </c>
      <c r="J482" s="5"/>
    </row>
    <row r="483" spans="1:10" x14ac:dyDescent="0.25">
      <c r="A483" s="19" t="s">
        <v>274</v>
      </c>
      <c r="B483" s="5" t="s">
        <v>275</v>
      </c>
      <c r="C483" s="15">
        <v>1</v>
      </c>
      <c r="D483" s="16" t="s">
        <v>336</v>
      </c>
      <c r="E483" s="19" t="s">
        <v>337</v>
      </c>
      <c r="F483" s="5" t="s">
        <v>338</v>
      </c>
      <c r="G483" s="5"/>
      <c r="H483" s="19" t="s">
        <v>339</v>
      </c>
      <c r="I483" s="15" t="s">
        <v>93</v>
      </c>
      <c r="J483" s="5"/>
    </row>
    <row r="484" spans="1:10" x14ac:dyDescent="0.25">
      <c r="A484" s="19" t="s">
        <v>274</v>
      </c>
      <c r="B484" s="5" t="s">
        <v>275</v>
      </c>
      <c r="C484" s="15">
        <v>2</v>
      </c>
      <c r="D484" s="16" t="s">
        <v>746</v>
      </c>
      <c r="E484" s="19" t="s">
        <v>412</v>
      </c>
      <c r="F484" s="5" t="s">
        <v>796</v>
      </c>
      <c r="G484" s="5"/>
      <c r="H484" s="19"/>
      <c r="I484" s="15" t="s">
        <v>93</v>
      </c>
      <c r="J484" s="5"/>
    </row>
    <row r="485" spans="1:10" x14ac:dyDescent="0.25">
      <c r="A485" s="19" t="s">
        <v>274</v>
      </c>
      <c r="B485" s="5" t="s">
        <v>275</v>
      </c>
      <c r="C485" s="15">
        <v>3</v>
      </c>
      <c r="D485" s="16" t="s">
        <v>1003</v>
      </c>
      <c r="E485" s="19" t="s">
        <v>456</v>
      </c>
      <c r="F485" s="5" t="s">
        <v>1004</v>
      </c>
      <c r="G485" s="5"/>
      <c r="H485" s="19"/>
      <c r="I485" s="15" t="s">
        <v>93</v>
      </c>
      <c r="J485" s="5"/>
    </row>
    <row r="486" spans="1:10" x14ac:dyDescent="0.25">
      <c r="A486" s="19" t="s">
        <v>274</v>
      </c>
      <c r="B486" s="5" t="s">
        <v>275</v>
      </c>
      <c r="C486" s="15">
        <v>4</v>
      </c>
      <c r="D486" s="16" t="s">
        <v>960</v>
      </c>
      <c r="E486" s="19" t="s">
        <v>412</v>
      </c>
      <c r="F486" s="5" t="s">
        <v>1005</v>
      </c>
      <c r="G486" s="5"/>
      <c r="H486" s="19" t="s">
        <v>341</v>
      </c>
      <c r="I486" s="15" t="s">
        <v>93</v>
      </c>
      <c r="J486" s="5"/>
    </row>
    <row r="487" spans="1:10" x14ac:dyDescent="0.25">
      <c r="A487" s="19" t="s">
        <v>274</v>
      </c>
      <c r="B487" s="5" t="s">
        <v>275</v>
      </c>
      <c r="C487" s="15">
        <v>5</v>
      </c>
      <c r="D487" s="16" t="s">
        <v>962</v>
      </c>
      <c r="E487" s="19" t="s">
        <v>412</v>
      </c>
      <c r="F487" s="5" t="s">
        <v>1006</v>
      </c>
      <c r="G487" s="5"/>
      <c r="H487" s="19"/>
      <c r="I487" s="15" t="s">
        <v>93</v>
      </c>
      <c r="J487" s="7" t="s">
        <v>567</v>
      </c>
    </row>
    <row r="488" spans="1:10" x14ac:dyDescent="0.25">
      <c r="A488" s="19" t="s">
        <v>274</v>
      </c>
      <c r="B488" s="5" t="s">
        <v>275</v>
      </c>
      <c r="C488" s="15">
        <v>6</v>
      </c>
      <c r="D488" s="16" t="s">
        <v>965</v>
      </c>
      <c r="E488" s="19" t="s">
        <v>502</v>
      </c>
      <c r="F488" s="5" t="s">
        <v>1007</v>
      </c>
      <c r="G488" s="5"/>
      <c r="H488" s="19"/>
      <c r="I488" s="15" t="s">
        <v>93</v>
      </c>
      <c r="J488" s="7" t="s">
        <v>686</v>
      </c>
    </row>
    <row r="489" spans="1:10" x14ac:dyDescent="0.25">
      <c r="A489" s="19" t="s">
        <v>274</v>
      </c>
      <c r="B489" s="5" t="s">
        <v>275</v>
      </c>
      <c r="C489" s="15">
        <v>7</v>
      </c>
      <c r="D489" s="16" t="s">
        <v>967</v>
      </c>
      <c r="E489" s="19" t="s">
        <v>624</v>
      </c>
      <c r="F489" s="5" t="s">
        <v>415</v>
      </c>
      <c r="G489" s="5"/>
      <c r="H489" s="19"/>
      <c r="I489" s="15" t="s">
        <v>93</v>
      </c>
      <c r="J489" s="5"/>
    </row>
    <row r="490" spans="1:10" x14ac:dyDescent="0.25">
      <c r="A490" s="19" t="s">
        <v>274</v>
      </c>
      <c r="B490" s="5" t="s">
        <v>275</v>
      </c>
      <c r="C490" s="15">
        <v>8</v>
      </c>
      <c r="D490" s="16" t="s">
        <v>486</v>
      </c>
      <c r="E490" s="19" t="s">
        <v>486</v>
      </c>
      <c r="F490" s="5" t="s">
        <v>908</v>
      </c>
      <c r="G490" s="5"/>
      <c r="H490" s="19"/>
      <c r="I490" s="15" t="s">
        <v>93</v>
      </c>
      <c r="J490" s="7" t="s">
        <v>871</v>
      </c>
    </row>
    <row r="491" spans="1:10" x14ac:dyDescent="0.25">
      <c r="A491" s="19" t="s">
        <v>274</v>
      </c>
      <c r="B491" s="5" t="s">
        <v>275</v>
      </c>
      <c r="C491" s="15">
        <v>9</v>
      </c>
      <c r="D491" s="16" t="s">
        <v>968</v>
      </c>
      <c r="E491" s="19" t="s">
        <v>343</v>
      </c>
      <c r="F491" s="5" t="s">
        <v>1008</v>
      </c>
      <c r="G491" s="5"/>
      <c r="H491" s="19"/>
      <c r="I491" s="15" t="s">
        <v>93</v>
      </c>
      <c r="J491" s="5"/>
    </row>
    <row r="492" spans="1:10" x14ac:dyDescent="0.25">
      <c r="A492" s="19" t="s">
        <v>274</v>
      </c>
      <c r="B492" s="5" t="s">
        <v>275</v>
      </c>
      <c r="C492" s="15">
        <v>10</v>
      </c>
      <c r="D492" s="16" t="s">
        <v>1009</v>
      </c>
      <c r="E492" s="19" t="s">
        <v>343</v>
      </c>
      <c r="F492" s="5" t="s">
        <v>1010</v>
      </c>
      <c r="G492" s="5"/>
      <c r="H492" s="19"/>
      <c r="I492" s="15" t="s">
        <v>93</v>
      </c>
      <c r="J492" s="5"/>
    </row>
    <row r="493" spans="1:10" x14ac:dyDescent="0.25">
      <c r="A493" s="19" t="s">
        <v>274</v>
      </c>
      <c r="B493" s="5" t="s">
        <v>275</v>
      </c>
      <c r="C493" s="15">
        <v>11</v>
      </c>
      <c r="D493" s="16" t="s">
        <v>1011</v>
      </c>
      <c r="E493" s="19" t="s">
        <v>388</v>
      </c>
      <c r="F493" s="5" t="s">
        <v>1012</v>
      </c>
      <c r="G493" s="5"/>
      <c r="H493" s="19"/>
      <c r="I493" s="15" t="s">
        <v>93</v>
      </c>
      <c r="J493" s="5"/>
    </row>
    <row r="494" spans="1:10" ht="26.4" x14ac:dyDescent="0.25">
      <c r="A494" s="19" t="s">
        <v>274</v>
      </c>
      <c r="B494" s="5" t="s">
        <v>275</v>
      </c>
      <c r="C494" s="15">
        <v>12</v>
      </c>
      <c r="D494" s="16" t="s">
        <v>664</v>
      </c>
      <c r="E494" s="19" t="s">
        <v>388</v>
      </c>
      <c r="F494" s="5" t="s">
        <v>1013</v>
      </c>
      <c r="G494" s="5"/>
      <c r="H494" s="19"/>
      <c r="I494" s="15" t="s">
        <v>93</v>
      </c>
      <c r="J494" s="7" t="s">
        <v>532</v>
      </c>
    </row>
    <row r="495" spans="1:10" x14ac:dyDescent="0.25">
      <c r="A495" s="19" t="s">
        <v>274</v>
      </c>
      <c r="B495" s="5" t="s">
        <v>275</v>
      </c>
      <c r="C495" s="15">
        <v>13</v>
      </c>
      <c r="D495" s="16" t="s">
        <v>971</v>
      </c>
      <c r="E495" s="19" t="s">
        <v>528</v>
      </c>
      <c r="F495" s="5" t="s">
        <v>972</v>
      </c>
      <c r="G495" s="5"/>
      <c r="H495" s="19"/>
      <c r="I495" s="15" t="s">
        <v>93</v>
      </c>
      <c r="J495" s="5"/>
    </row>
    <row r="496" spans="1:10" x14ac:dyDescent="0.25">
      <c r="A496" s="19" t="s">
        <v>274</v>
      </c>
      <c r="B496" s="5" t="s">
        <v>275</v>
      </c>
      <c r="C496" s="15">
        <v>14</v>
      </c>
      <c r="D496" s="16" t="s">
        <v>973</v>
      </c>
      <c r="E496" s="19" t="s">
        <v>422</v>
      </c>
      <c r="F496" s="5" t="s">
        <v>974</v>
      </c>
      <c r="G496" s="5"/>
      <c r="H496" s="19"/>
      <c r="I496" s="15" t="s">
        <v>93</v>
      </c>
      <c r="J496" s="5"/>
    </row>
    <row r="497" spans="1:10" x14ac:dyDescent="0.25">
      <c r="A497" s="19" t="s">
        <v>274</v>
      </c>
      <c r="B497" s="5" t="s">
        <v>275</v>
      </c>
      <c r="C497" s="15">
        <v>15</v>
      </c>
      <c r="D497" s="16" t="s">
        <v>256</v>
      </c>
      <c r="E497" s="19" t="s">
        <v>371</v>
      </c>
      <c r="F497" s="5" t="s">
        <v>1014</v>
      </c>
      <c r="G497" s="5"/>
      <c r="H497" s="19"/>
      <c r="I497" s="15" t="s">
        <v>418</v>
      </c>
      <c r="J497" s="5"/>
    </row>
    <row r="498" spans="1:10" x14ac:dyDescent="0.25">
      <c r="A498" s="19" t="s">
        <v>274</v>
      </c>
      <c r="B498" s="5" t="s">
        <v>275</v>
      </c>
      <c r="C498" s="15">
        <v>16</v>
      </c>
      <c r="D498" s="16" t="s">
        <v>169</v>
      </c>
      <c r="E498" s="19" t="s">
        <v>371</v>
      </c>
      <c r="F498" s="5" t="s">
        <v>600</v>
      </c>
      <c r="G498" s="5"/>
      <c r="H498" s="19"/>
      <c r="I498" s="15" t="s">
        <v>93</v>
      </c>
      <c r="J498" s="5"/>
    </row>
    <row r="499" spans="1:10" x14ac:dyDescent="0.25">
      <c r="A499" s="19" t="s">
        <v>274</v>
      </c>
      <c r="B499" s="5" t="s">
        <v>275</v>
      </c>
      <c r="C499" s="15">
        <v>17</v>
      </c>
      <c r="D499" s="16" t="s">
        <v>955</v>
      </c>
      <c r="E499" s="19" t="s">
        <v>409</v>
      </c>
      <c r="F499" s="5" t="s">
        <v>956</v>
      </c>
      <c r="G499" s="5" t="s">
        <v>1015</v>
      </c>
      <c r="H499" s="19"/>
      <c r="I499" s="15" t="s">
        <v>93</v>
      </c>
      <c r="J499" s="5"/>
    </row>
    <row r="500" spans="1:10" ht="26.4" x14ac:dyDescent="0.25">
      <c r="A500" s="19" t="s">
        <v>274</v>
      </c>
      <c r="B500" s="5" t="s">
        <v>275</v>
      </c>
      <c r="C500" s="15">
        <v>18</v>
      </c>
      <c r="D500" s="16" t="s">
        <v>948</v>
      </c>
      <c r="E500" s="19" t="s">
        <v>561</v>
      </c>
      <c r="F500" s="5" t="s">
        <v>1016</v>
      </c>
      <c r="G500" s="5"/>
      <c r="H500" s="19"/>
      <c r="I500" s="15" t="s">
        <v>93</v>
      </c>
      <c r="J500" s="5"/>
    </row>
    <row r="501" spans="1:10" x14ac:dyDescent="0.25">
      <c r="A501" s="19" t="s">
        <v>274</v>
      </c>
      <c r="B501" s="5" t="s">
        <v>275</v>
      </c>
      <c r="C501" s="15">
        <v>19</v>
      </c>
      <c r="D501" s="16" t="s">
        <v>975</v>
      </c>
      <c r="E501" s="19" t="s">
        <v>619</v>
      </c>
      <c r="F501" s="5" t="s">
        <v>976</v>
      </c>
      <c r="G501" s="5" t="s">
        <v>1017</v>
      </c>
      <c r="H501" s="19"/>
      <c r="I501" s="15" t="s">
        <v>93</v>
      </c>
      <c r="J501" s="5"/>
    </row>
    <row r="502" spans="1:10" x14ac:dyDescent="0.25">
      <c r="A502" s="19" t="s">
        <v>274</v>
      </c>
      <c r="B502" s="5" t="s">
        <v>275</v>
      </c>
      <c r="C502" s="15">
        <v>20</v>
      </c>
      <c r="D502" s="16" t="s">
        <v>980</v>
      </c>
      <c r="E502" s="19" t="s">
        <v>422</v>
      </c>
      <c r="F502" s="5" t="s">
        <v>981</v>
      </c>
      <c r="G502" s="5"/>
      <c r="H502" s="19"/>
      <c r="I502" s="15" t="s">
        <v>93</v>
      </c>
      <c r="J502" s="5"/>
    </row>
    <row r="503" spans="1:10" x14ac:dyDescent="0.25">
      <c r="A503" s="19" t="s">
        <v>274</v>
      </c>
      <c r="B503" s="5" t="s">
        <v>275</v>
      </c>
      <c r="C503" s="15">
        <v>21</v>
      </c>
      <c r="D503" s="16" t="s">
        <v>983</v>
      </c>
      <c r="E503" s="19" t="s">
        <v>337</v>
      </c>
      <c r="F503" s="5" t="s">
        <v>984</v>
      </c>
      <c r="G503" s="5"/>
      <c r="H503" s="19" t="s">
        <v>737</v>
      </c>
      <c r="I503" s="15" t="s">
        <v>418</v>
      </c>
      <c r="J503" s="5"/>
    </row>
    <row r="504" spans="1:10" x14ac:dyDescent="0.25">
      <c r="A504" s="19" t="s">
        <v>274</v>
      </c>
      <c r="B504" s="5" t="s">
        <v>275</v>
      </c>
      <c r="C504" s="15">
        <v>22</v>
      </c>
      <c r="D504" s="16" t="s">
        <v>978</v>
      </c>
      <c r="E504" s="19" t="s">
        <v>502</v>
      </c>
      <c r="F504" s="5" t="s">
        <v>979</v>
      </c>
      <c r="G504" s="5"/>
      <c r="H504" s="19"/>
      <c r="I504" s="15" t="s">
        <v>93</v>
      </c>
      <c r="J504" s="7" t="s">
        <v>686</v>
      </c>
    </row>
    <row r="505" spans="1:10" x14ac:dyDescent="0.25">
      <c r="A505" s="19" t="s">
        <v>279</v>
      </c>
      <c r="B505" s="5" t="s">
        <v>280</v>
      </c>
      <c r="C505" s="15">
        <v>1</v>
      </c>
      <c r="D505" s="16" t="s">
        <v>336</v>
      </c>
      <c r="E505" s="19" t="s">
        <v>337</v>
      </c>
      <c r="F505" s="5" t="s">
        <v>338</v>
      </c>
      <c r="G505" s="5"/>
      <c r="H505" s="19" t="s">
        <v>339</v>
      </c>
      <c r="I505" s="15" t="s">
        <v>93</v>
      </c>
      <c r="J505" s="5"/>
    </row>
    <row r="506" spans="1:10" x14ac:dyDescent="0.25">
      <c r="A506" s="19" t="s">
        <v>279</v>
      </c>
      <c r="B506" s="5" t="s">
        <v>280</v>
      </c>
      <c r="C506" s="15">
        <v>2</v>
      </c>
      <c r="D506" s="16" t="s">
        <v>839</v>
      </c>
      <c r="E506" s="19" t="s">
        <v>412</v>
      </c>
      <c r="F506" s="5" t="s">
        <v>1018</v>
      </c>
      <c r="G506" s="5"/>
      <c r="H506" s="19" t="s">
        <v>341</v>
      </c>
      <c r="I506" s="15" t="s">
        <v>93</v>
      </c>
      <c r="J506" s="5"/>
    </row>
    <row r="507" spans="1:10" x14ac:dyDescent="0.25">
      <c r="A507" s="19" t="s">
        <v>279</v>
      </c>
      <c r="B507" s="5" t="s">
        <v>280</v>
      </c>
      <c r="C507" s="15">
        <v>3</v>
      </c>
      <c r="D507" s="16" t="s">
        <v>746</v>
      </c>
      <c r="E507" s="19" t="s">
        <v>412</v>
      </c>
      <c r="F507" s="5" t="s">
        <v>796</v>
      </c>
      <c r="G507" s="5"/>
      <c r="H507" s="19"/>
      <c r="I507" s="15" t="s">
        <v>93</v>
      </c>
      <c r="J507" s="5"/>
    </row>
    <row r="508" spans="1:10" x14ac:dyDescent="0.25">
      <c r="A508" s="19" t="s">
        <v>279</v>
      </c>
      <c r="B508" s="5" t="s">
        <v>280</v>
      </c>
      <c r="C508" s="15">
        <v>4</v>
      </c>
      <c r="D508" s="16" t="s">
        <v>1019</v>
      </c>
      <c r="E508" s="19" t="s">
        <v>412</v>
      </c>
      <c r="F508" s="5" t="s">
        <v>1020</v>
      </c>
      <c r="G508" s="5"/>
      <c r="H508" s="19"/>
      <c r="I508" s="15" t="s">
        <v>93</v>
      </c>
      <c r="J508" s="7" t="s">
        <v>567</v>
      </c>
    </row>
    <row r="509" spans="1:10" x14ac:dyDescent="0.25">
      <c r="A509" s="19" t="s">
        <v>279</v>
      </c>
      <c r="B509" s="5" t="s">
        <v>280</v>
      </c>
      <c r="C509" s="15">
        <v>5</v>
      </c>
      <c r="D509" s="16" t="s">
        <v>1021</v>
      </c>
      <c r="E509" s="19" t="s">
        <v>578</v>
      </c>
      <c r="F509" s="5" t="s">
        <v>519</v>
      </c>
      <c r="G509" s="5"/>
      <c r="H509" s="19"/>
      <c r="I509" s="15" t="s">
        <v>93</v>
      </c>
      <c r="J509" s="5"/>
    </row>
    <row r="510" spans="1:10" x14ac:dyDescent="0.25">
      <c r="A510" s="19" t="s">
        <v>279</v>
      </c>
      <c r="B510" s="5" t="s">
        <v>280</v>
      </c>
      <c r="C510" s="15">
        <v>6</v>
      </c>
      <c r="D510" s="16" t="s">
        <v>486</v>
      </c>
      <c r="E510" s="19" t="s">
        <v>486</v>
      </c>
      <c r="F510" s="5" t="s">
        <v>908</v>
      </c>
      <c r="G510" s="5"/>
      <c r="H510" s="19"/>
      <c r="I510" s="15" t="s">
        <v>93</v>
      </c>
      <c r="J510" s="7" t="s">
        <v>871</v>
      </c>
    </row>
    <row r="511" spans="1:10" ht="26.4" x14ac:dyDescent="0.25">
      <c r="A511" s="19" t="s">
        <v>279</v>
      </c>
      <c r="B511" s="5" t="s">
        <v>280</v>
      </c>
      <c r="C511" s="15">
        <v>7</v>
      </c>
      <c r="D511" s="16" t="s">
        <v>533</v>
      </c>
      <c r="E511" s="19" t="s">
        <v>388</v>
      </c>
      <c r="F511" s="5" t="s">
        <v>1022</v>
      </c>
      <c r="G511" s="5"/>
      <c r="H511" s="19"/>
      <c r="I511" s="15" t="s">
        <v>93</v>
      </c>
      <c r="J511" s="7" t="s">
        <v>532</v>
      </c>
    </row>
    <row r="512" spans="1:10" ht="26.4" x14ac:dyDescent="0.25">
      <c r="A512" s="19" t="s">
        <v>279</v>
      </c>
      <c r="B512" s="5" t="s">
        <v>280</v>
      </c>
      <c r="C512" s="15">
        <v>8</v>
      </c>
      <c r="D512" s="16" t="s">
        <v>495</v>
      </c>
      <c r="E512" s="19" t="s">
        <v>496</v>
      </c>
      <c r="F512" s="5" t="s">
        <v>497</v>
      </c>
      <c r="G512" s="5" t="s">
        <v>1023</v>
      </c>
      <c r="H512" s="19"/>
      <c r="I512" s="15" t="s">
        <v>93</v>
      </c>
      <c r="J512" s="5"/>
    </row>
    <row r="513" spans="1:10" x14ac:dyDescent="0.25">
      <c r="A513" s="19" t="s">
        <v>279</v>
      </c>
      <c r="B513" s="5" t="s">
        <v>280</v>
      </c>
      <c r="C513" s="15">
        <v>9</v>
      </c>
      <c r="D513" s="16" t="s">
        <v>1024</v>
      </c>
      <c r="E513" s="19" t="s">
        <v>367</v>
      </c>
      <c r="F513" s="5" t="s">
        <v>1025</v>
      </c>
      <c r="G513" s="5"/>
      <c r="H513" s="19"/>
      <c r="I513" s="15" t="s">
        <v>93</v>
      </c>
      <c r="J513" s="5"/>
    </row>
    <row r="514" spans="1:10" x14ac:dyDescent="0.25">
      <c r="A514" s="19" t="s">
        <v>279</v>
      </c>
      <c r="B514" s="5" t="s">
        <v>280</v>
      </c>
      <c r="C514" s="15">
        <v>10</v>
      </c>
      <c r="D514" s="16" t="s">
        <v>169</v>
      </c>
      <c r="E514" s="19" t="s">
        <v>371</v>
      </c>
      <c r="F514" s="5" t="s">
        <v>600</v>
      </c>
      <c r="G514" s="5"/>
      <c r="H514" s="19"/>
      <c r="I514" s="15" t="s">
        <v>93</v>
      </c>
      <c r="J514" s="5"/>
    </row>
    <row r="515" spans="1:10" x14ac:dyDescent="0.25">
      <c r="A515" s="19" t="s">
        <v>282</v>
      </c>
      <c r="B515" s="5" t="s">
        <v>283</v>
      </c>
      <c r="C515" s="15">
        <v>1</v>
      </c>
      <c r="D515" s="16" t="s">
        <v>336</v>
      </c>
      <c r="E515" s="19" t="s">
        <v>337</v>
      </c>
      <c r="F515" s="5" t="s">
        <v>338</v>
      </c>
      <c r="G515" s="5"/>
      <c r="H515" s="19" t="s">
        <v>339</v>
      </c>
      <c r="I515" s="15" t="s">
        <v>93</v>
      </c>
      <c r="J515" s="5"/>
    </row>
    <row r="516" spans="1:10" x14ac:dyDescent="0.25">
      <c r="A516" s="19" t="s">
        <v>282</v>
      </c>
      <c r="B516" s="5" t="s">
        <v>283</v>
      </c>
      <c r="C516" s="15">
        <v>2</v>
      </c>
      <c r="D516" s="16" t="s">
        <v>746</v>
      </c>
      <c r="E516" s="19" t="s">
        <v>412</v>
      </c>
      <c r="F516" s="5" t="s">
        <v>796</v>
      </c>
      <c r="G516" s="5"/>
      <c r="H516" s="19" t="s">
        <v>341</v>
      </c>
      <c r="I516" s="15" t="s">
        <v>93</v>
      </c>
      <c r="J516" s="5"/>
    </row>
    <row r="517" spans="1:10" x14ac:dyDescent="0.25">
      <c r="A517" s="19" t="s">
        <v>282</v>
      </c>
      <c r="B517" s="5" t="s">
        <v>283</v>
      </c>
      <c r="C517" s="15">
        <v>3</v>
      </c>
      <c r="D517" s="16" t="s">
        <v>563</v>
      </c>
      <c r="E517" s="19" t="s">
        <v>817</v>
      </c>
      <c r="F517" s="5" t="s">
        <v>1004</v>
      </c>
      <c r="G517" s="5"/>
      <c r="H517" s="19"/>
      <c r="I517" s="15" t="s">
        <v>93</v>
      </c>
      <c r="J517" s="5"/>
    </row>
    <row r="518" spans="1:10" ht="79.2" x14ac:dyDescent="0.25">
      <c r="A518" s="19" t="s">
        <v>282</v>
      </c>
      <c r="B518" s="5" t="s">
        <v>283</v>
      </c>
      <c r="C518" s="15">
        <v>4</v>
      </c>
      <c r="D518" s="16" t="s">
        <v>443</v>
      </c>
      <c r="E518" s="19" t="s">
        <v>444</v>
      </c>
      <c r="F518" s="5" t="s">
        <v>789</v>
      </c>
      <c r="G518" s="5" t="s">
        <v>1026</v>
      </c>
      <c r="H518" s="19"/>
      <c r="I518" s="15" t="s">
        <v>93</v>
      </c>
      <c r="J518" s="5"/>
    </row>
    <row r="519" spans="1:10" x14ac:dyDescent="0.25">
      <c r="A519" s="19" t="s">
        <v>282</v>
      </c>
      <c r="B519" s="5" t="s">
        <v>283</v>
      </c>
      <c r="C519" s="15">
        <v>5</v>
      </c>
      <c r="D519" s="16" t="s">
        <v>1027</v>
      </c>
      <c r="E519" s="19" t="s">
        <v>528</v>
      </c>
      <c r="F519" s="5" t="s">
        <v>1028</v>
      </c>
      <c r="G519" s="5"/>
      <c r="H519" s="19"/>
      <c r="I519" s="15" t="s">
        <v>93</v>
      </c>
      <c r="J519" s="5"/>
    </row>
    <row r="520" spans="1:10" x14ac:dyDescent="0.25">
      <c r="A520" s="19" t="s">
        <v>282</v>
      </c>
      <c r="B520" s="5" t="s">
        <v>283</v>
      </c>
      <c r="C520" s="15">
        <v>6</v>
      </c>
      <c r="D520" s="16" t="s">
        <v>1029</v>
      </c>
      <c r="E520" s="19" t="s">
        <v>388</v>
      </c>
      <c r="F520" s="5" t="s">
        <v>1030</v>
      </c>
      <c r="G520" s="5"/>
      <c r="H520" s="19"/>
      <c r="I520" s="15" t="s">
        <v>93</v>
      </c>
      <c r="J520" s="5"/>
    </row>
    <row r="521" spans="1:10" x14ac:dyDescent="0.25">
      <c r="A521" s="19" t="s">
        <v>282</v>
      </c>
      <c r="B521" s="5" t="s">
        <v>283</v>
      </c>
      <c r="C521" s="15">
        <v>7</v>
      </c>
      <c r="D521" s="16" t="s">
        <v>749</v>
      </c>
      <c r="E521" s="19" t="s">
        <v>624</v>
      </c>
      <c r="F521" s="5" t="s">
        <v>750</v>
      </c>
      <c r="G521" s="5"/>
      <c r="H521" s="19"/>
      <c r="I521" s="15" t="s">
        <v>93</v>
      </c>
      <c r="J521" s="5"/>
    </row>
    <row r="522" spans="1:10" x14ac:dyDescent="0.25">
      <c r="A522" s="19" t="s">
        <v>282</v>
      </c>
      <c r="B522" s="5" t="s">
        <v>283</v>
      </c>
      <c r="C522" s="15">
        <v>8</v>
      </c>
      <c r="D522" s="16" t="s">
        <v>663</v>
      </c>
      <c r="E522" s="19" t="s">
        <v>422</v>
      </c>
      <c r="F522" s="5" t="s">
        <v>85</v>
      </c>
      <c r="G522" s="5"/>
      <c r="H522" s="19"/>
      <c r="I522" s="15" t="s">
        <v>93</v>
      </c>
      <c r="J522" s="5"/>
    </row>
    <row r="523" spans="1:10" x14ac:dyDescent="0.25">
      <c r="A523" s="19" t="s">
        <v>282</v>
      </c>
      <c r="B523" s="5" t="s">
        <v>283</v>
      </c>
      <c r="C523" s="15">
        <v>9</v>
      </c>
      <c r="D523" s="16" t="s">
        <v>622</v>
      </c>
      <c r="E523" s="19" t="s">
        <v>528</v>
      </c>
      <c r="F523" s="5" t="s">
        <v>1031</v>
      </c>
      <c r="G523" s="5"/>
      <c r="H523" s="19"/>
      <c r="I523" s="15" t="s">
        <v>93</v>
      </c>
      <c r="J523" s="5"/>
    </row>
    <row r="524" spans="1:10" x14ac:dyDescent="0.25">
      <c r="A524" s="19" t="s">
        <v>282</v>
      </c>
      <c r="B524" s="5" t="s">
        <v>283</v>
      </c>
      <c r="C524" s="15">
        <v>10</v>
      </c>
      <c r="D524" s="16" t="s">
        <v>272</v>
      </c>
      <c r="E524" s="19" t="s">
        <v>371</v>
      </c>
      <c r="F524" s="5" t="s">
        <v>1032</v>
      </c>
      <c r="G524" s="5"/>
      <c r="H524" s="19"/>
      <c r="I524" s="15" t="s">
        <v>93</v>
      </c>
      <c r="J524" s="5"/>
    </row>
    <row r="525" spans="1:10" x14ac:dyDescent="0.25">
      <c r="A525" s="19" t="s">
        <v>282</v>
      </c>
      <c r="B525" s="5" t="s">
        <v>283</v>
      </c>
      <c r="C525" s="15">
        <v>11</v>
      </c>
      <c r="D525" s="16" t="s">
        <v>201</v>
      </c>
      <c r="E525" s="19" t="s">
        <v>371</v>
      </c>
      <c r="F525" s="5" t="s">
        <v>1033</v>
      </c>
      <c r="G525" s="5"/>
      <c r="H525" s="19"/>
      <c r="I525" s="15" t="s">
        <v>93</v>
      </c>
      <c r="J525" s="5"/>
    </row>
    <row r="526" spans="1:10" x14ac:dyDescent="0.25">
      <c r="A526" s="19" t="s">
        <v>285</v>
      </c>
      <c r="B526" s="5" t="s">
        <v>286</v>
      </c>
      <c r="C526" s="15">
        <v>1</v>
      </c>
      <c r="D526" s="16" t="s">
        <v>336</v>
      </c>
      <c r="E526" s="19" t="s">
        <v>337</v>
      </c>
      <c r="F526" s="5" t="s">
        <v>338</v>
      </c>
      <c r="G526" s="5"/>
      <c r="H526" s="19" t="s">
        <v>339</v>
      </c>
      <c r="I526" s="15" t="s">
        <v>93</v>
      </c>
      <c r="J526" s="5"/>
    </row>
    <row r="527" spans="1:10" x14ac:dyDescent="0.25">
      <c r="A527" s="19" t="s">
        <v>285</v>
      </c>
      <c r="B527" s="5" t="s">
        <v>286</v>
      </c>
      <c r="C527" s="15">
        <v>2</v>
      </c>
      <c r="D527" s="16" t="s">
        <v>715</v>
      </c>
      <c r="E527" s="19" t="s">
        <v>412</v>
      </c>
      <c r="F527" s="5" t="s">
        <v>567</v>
      </c>
      <c r="G527" s="5"/>
      <c r="H527" s="19" t="s">
        <v>341</v>
      </c>
      <c r="I527" s="15" t="s">
        <v>93</v>
      </c>
      <c r="J527" s="7" t="s">
        <v>567</v>
      </c>
    </row>
    <row r="528" spans="1:10" x14ac:dyDescent="0.25">
      <c r="A528" s="19" t="s">
        <v>285</v>
      </c>
      <c r="B528" s="5" t="s">
        <v>286</v>
      </c>
      <c r="C528" s="15">
        <v>3</v>
      </c>
      <c r="D528" s="16" t="s">
        <v>477</v>
      </c>
      <c r="E528" s="19" t="s">
        <v>456</v>
      </c>
      <c r="F528" s="5" t="s">
        <v>740</v>
      </c>
      <c r="G528" s="5"/>
      <c r="H528" s="19"/>
      <c r="I528" s="15" t="s">
        <v>93</v>
      </c>
      <c r="J528" s="7" t="s">
        <v>686</v>
      </c>
    </row>
    <row r="529" spans="1:10" x14ac:dyDescent="0.25">
      <c r="A529" s="19" t="s">
        <v>285</v>
      </c>
      <c r="B529" s="5" t="s">
        <v>286</v>
      </c>
      <c r="C529" s="15">
        <v>5</v>
      </c>
      <c r="D529" s="16" t="s">
        <v>1034</v>
      </c>
      <c r="E529" s="19" t="s">
        <v>486</v>
      </c>
      <c r="F529" s="5" t="s">
        <v>1035</v>
      </c>
      <c r="G529" s="5"/>
      <c r="H529" s="19"/>
      <c r="I529" s="15" t="s">
        <v>93</v>
      </c>
      <c r="J529" s="7" t="s">
        <v>1036</v>
      </c>
    </row>
    <row r="530" spans="1:10" x14ac:dyDescent="0.25">
      <c r="A530" s="19" t="s">
        <v>285</v>
      </c>
      <c r="B530" s="5" t="s">
        <v>286</v>
      </c>
      <c r="C530" s="15">
        <v>6</v>
      </c>
      <c r="D530" s="16" t="s">
        <v>1037</v>
      </c>
      <c r="E530" s="19" t="s">
        <v>444</v>
      </c>
      <c r="F530" s="5" t="s">
        <v>1038</v>
      </c>
      <c r="G530" s="5"/>
      <c r="H530" s="19"/>
      <c r="I530" s="15" t="s">
        <v>93</v>
      </c>
      <c r="J530" s="5"/>
    </row>
    <row r="531" spans="1:10" x14ac:dyDescent="0.25">
      <c r="A531" s="19" t="s">
        <v>285</v>
      </c>
      <c r="B531" s="5" t="s">
        <v>286</v>
      </c>
      <c r="C531" s="15">
        <v>7</v>
      </c>
      <c r="D531" s="16" t="s">
        <v>738</v>
      </c>
      <c r="E531" s="19" t="s">
        <v>502</v>
      </c>
      <c r="F531" s="5" t="s">
        <v>1039</v>
      </c>
      <c r="G531" s="5"/>
      <c r="H531" s="19"/>
      <c r="I531" s="15" t="s">
        <v>93</v>
      </c>
      <c r="J531" s="7" t="s">
        <v>686</v>
      </c>
    </row>
    <row r="532" spans="1:10" x14ac:dyDescent="0.25">
      <c r="A532" s="19" t="s">
        <v>285</v>
      </c>
      <c r="B532" s="5" t="s">
        <v>286</v>
      </c>
      <c r="C532" s="15">
        <v>8</v>
      </c>
      <c r="D532" s="16" t="s">
        <v>988</v>
      </c>
      <c r="E532" s="19" t="s">
        <v>528</v>
      </c>
      <c r="F532" s="5" t="s">
        <v>989</v>
      </c>
      <c r="G532" s="5"/>
      <c r="H532" s="19"/>
      <c r="I532" s="15" t="s">
        <v>93</v>
      </c>
      <c r="J532" s="5"/>
    </row>
    <row r="533" spans="1:10" x14ac:dyDescent="0.25">
      <c r="A533" s="19" t="s">
        <v>285</v>
      </c>
      <c r="B533" s="5" t="s">
        <v>286</v>
      </c>
      <c r="C533" s="15">
        <v>9</v>
      </c>
      <c r="D533" s="16" t="s">
        <v>749</v>
      </c>
      <c r="E533" s="19" t="s">
        <v>409</v>
      </c>
      <c r="F533" s="5" t="s">
        <v>990</v>
      </c>
      <c r="G533" s="5" t="s">
        <v>1040</v>
      </c>
      <c r="H533" s="19"/>
      <c r="I533" s="15" t="s">
        <v>93</v>
      </c>
      <c r="J533" s="5"/>
    </row>
    <row r="534" spans="1:10" x14ac:dyDescent="0.25">
      <c r="A534" s="19" t="s">
        <v>285</v>
      </c>
      <c r="B534" s="5" t="s">
        <v>286</v>
      </c>
      <c r="C534" s="15">
        <v>10</v>
      </c>
      <c r="D534" s="16" t="s">
        <v>746</v>
      </c>
      <c r="E534" s="19" t="s">
        <v>412</v>
      </c>
      <c r="F534" s="5" t="s">
        <v>1041</v>
      </c>
      <c r="G534" s="5"/>
      <c r="H534" s="19"/>
      <c r="I534" s="15" t="s">
        <v>93</v>
      </c>
      <c r="J534" s="5"/>
    </row>
    <row r="535" spans="1:10" x14ac:dyDescent="0.25">
      <c r="A535" s="19" t="s">
        <v>285</v>
      </c>
      <c r="B535" s="5" t="s">
        <v>286</v>
      </c>
      <c r="C535" s="15">
        <v>11</v>
      </c>
      <c r="D535" s="16" t="s">
        <v>997</v>
      </c>
      <c r="E535" s="19" t="s">
        <v>367</v>
      </c>
      <c r="F535" s="5" t="s">
        <v>1042</v>
      </c>
      <c r="G535" s="5"/>
      <c r="H535" s="19"/>
      <c r="I535" s="15" t="s">
        <v>93</v>
      </c>
      <c r="J535" s="5"/>
    </row>
    <row r="536" spans="1:10" x14ac:dyDescent="0.25">
      <c r="A536" s="19" t="s">
        <v>285</v>
      </c>
      <c r="B536" s="5" t="s">
        <v>286</v>
      </c>
      <c r="C536" s="15">
        <v>12</v>
      </c>
      <c r="D536" s="16" t="s">
        <v>272</v>
      </c>
      <c r="E536" s="19" t="s">
        <v>371</v>
      </c>
      <c r="F536" s="5" t="s">
        <v>1043</v>
      </c>
      <c r="G536" s="5"/>
      <c r="H536" s="19"/>
      <c r="I536" s="15" t="s">
        <v>93</v>
      </c>
      <c r="J536" s="5"/>
    </row>
    <row r="537" spans="1:10" x14ac:dyDescent="0.25">
      <c r="A537" s="19" t="s">
        <v>285</v>
      </c>
      <c r="B537" s="5" t="s">
        <v>286</v>
      </c>
      <c r="C537" s="15">
        <v>13</v>
      </c>
      <c r="D537" s="16" t="s">
        <v>201</v>
      </c>
      <c r="E537" s="19" t="s">
        <v>371</v>
      </c>
      <c r="F537" s="5" t="s">
        <v>1000</v>
      </c>
      <c r="G537" s="5"/>
      <c r="H537" s="19"/>
      <c r="I537" s="15" t="s">
        <v>93</v>
      </c>
      <c r="J537" s="5"/>
    </row>
    <row r="538" spans="1:10" x14ac:dyDescent="0.25">
      <c r="A538" s="19" t="s">
        <v>285</v>
      </c>
      <c r="B538" s="5" t="s">
        <v>286</v>
      </c>
      <c r="C538" s="15">
        <v>14</v>
      </c>
      <c r="D538" s="16" t="s">
        <v>115</v>
      </c>
      <c r="E538" s="19" t="s">
        <v>371</v>
      </c>
      <c r="F538" s="5" t="s">
        <v>879</v>
      </c>
      <c r="G538" s="5"/>
      <c r="H538" s="19"/>
      <c r="I538" s="15" t="s">
        <v>418</v>
      </c>
      <c r="J538" s="5"/>
    </row>
    <row r="539" spans="1:10" ht="26.4" x14ac:dyDescent="0.25">
      <c r="A539" s="19" t="s">
        <v>285</v>
      </c>
      <c r="B539" s="5" t="s">
        <v>286</v>
      </c>
      <c r="C539" s="15">
        <v>15</v>
      </c>
      <c r="D539" s="16" t="s">
        <v>533</v>
      </c>
      <c r="E539" s="19" t="s">
        <v>388</v>
      </c>
      <c r="F539" s="5" t="s">
        <v>1044</v>
      </c>
      <c r="G539" s="5"/>
      <c r="H539" s="19"/>
      <c r="I539" s="15" t="s">
        <v>93</v>
      </c>
      <c r="J539" s="7" t="s">
        <v>532</v>
      </c>
    </row>
    <row r="540" spans="1:10" x14ac:dyDescent="0.25">
      <c r="A540" s="19" t="s">
        <v>285</v>
      </c>
      <c r="B540" s="5" t="s">
        <v>286</v>
      </c>
      <c r="C540" s="15">
        <v>16</v>
      </c>
      <c r="D540" s="16" t="s">
        <v>948</v>
      </c>
      <c r="E540" s="19" t="s">
        <v>561</v>
      </c>
      <c r="F540" s="5" t="s">
        <v>1045</v>
      </c>
      <c r="G540" s="5"/>
      <c r="H540" s="19"/>
      <c r="I540" s="15" t="s">
        <v>93</v>
      </c>
      <c r="J540" s="5"/>
    </row>
    <row r="541" spans="1:10" x14ac:dyDescent="0.25">
      <c r="A541" s="19" t="s">
        <v>285</v>
      </c>
      <c r="B541" s="5" t="s">
        <v>286</v>
      </c>
      <c r="C541" s="15">
        <v>17</v>
      </c>
      <c r="D541" s="16" t="s">
        <v>1029</v>
      </c>
      <c r="E541" s="19" t="s">
        <v>388</v>
      </c>
      <c r="F541" s="5" t="s">
        <v>1046</v>
      </c>
      <c r="G541" s="5"/>
      <c r="H541" s="19"/>
      <c r="I541" s="15" t="s">
        <v>93</v>
      </c>
      <c r="J541" s="5"/>
    </row>
    <row r="542" spans="1:10" x14ac:dyDescent="0.25">
      <c r="A542" s="19" t="s">
        <v>285</v>
      </c>
      <c r="B542" s="5" t="s">
        <v>286</v>
      </c>
      <c r="C542" s="15">
        <v>18</v>
      </c>
      <c r="D542" s="16" t="s">
        <v>735</v>
      </c>
      <c r="E542" s="19" t="s">
        <v>337</v>
      </c>
      <c r="F542" s="5" t="s">
        <v>1002</v>
      </c>
      <c r="G542" s="5"/>
      <c r="H542" s="19" t="s">
        <v>737</v>
      </c>
      <c r="I542" s="15" t="s">
        <v>418</v>
      </c>
      <c r="J542" s="5"/>
    </row>
    <row r="543" spans="1:10" x14ac:dyDescent="0.25">
      <c r="A543" s="19" t="s">
        <v>290</v>
      </c>
      <c r="B543" s="5" t="s">
        <v>291</v>
      </c>
      <c r="C543" s="15">
        <v>1</v>
      </c>
      <c r="D543" s="16" t="s">
        <v>336</v>
      </c>
      <c r="E543" s="19" t="s">
        <v>367</v>
      </c>
      <c r="F543" s="5" t="s">
        <v>338</v>
      </c>
      <c r="G543" s="5"/>
      <c r="H543" s="19" t="s">
        <v>339</v>
      </c>
      <c r="I543" s="15" t="s">
        <v>93</v>
      </c>
      <c r="J543" s="5"/>
    </row>
    <row r="544" spans="1:10" x14ac:dyDescent="0.25">
      <c r="A544" s="19" t="s">
        <v>290</v>
      </c>
      <c r="B544" s="5" t="s">
        <v>291</v>
      </c>
      <c r="C544" s="15">
        <v>2</v>
      </c>
      <c r="D544" s="16" t="s">
        <v>563</v>
      </c>
      <c r="E544" s="19" t="s">
        <v>1047</v>
      </c>
      <c r="F544" s="5" t="s">
        <v>685</v>
      </c>
      <c r="G544" s="5"/>
      <c r="H544" s="19" t="s">
        <v>341</v>
      </c>
      <c r="I544" s="15" t="s">
        <v>93</v>
      </c>
      <c r="J544" s="5"/>
    </row>
    <row r="545" spans="1:10" x14ac:dyDescent="0.25">
      <c r="A545" s="19" t="s">
        <v>293</v>
      </c>
      <c r="B545" s="5" t="s">
        <v>294</v>
      </c>
      <c r="C545" s="15">
        <v>1</v>
      </c>
      <c r="D545" s="16" t="s">
        <v>336</v>
      </c>
      <c r="E545" s="19" t="s">
        <v>337</v>
      </c>
      <c r="F545" s="5" t="s">
        <v>338</v>
      </c>
      <c r="G545" s="5"/>
      <c r="H545" s="19" t="s">
        <v>339</v>
      </c>
      <c r="I545" s="15" t="s">
        <v>93</v>
      </c>
      <c r="J545" s="5"/>
    </row>
    <row r="546" spans="1:10" x14ac:dyDescent="0.25">
      <c r="A546" s="19" t="s">
        <v>293</v>
      </c>
      <c r="B546" s="5" t="s">
        <v>294</v>
      </c>
      <c r="C546" s="15">
        <v>2</v>
      </c>
      <c r="D546" s="16" t="s">
        <v>746</v>
      </c>
      <c r="E546" s="19" t="s">
        <v>367</v>
      </c>
      <c r="F546" s="5" t="s">
        <v>1048</v>
      </c>
      <c r="G546" s="5"/>
      <c r="H546" s="19" t="s">
        <v>1049</v>
      </c>
      <c r="I546" s="15" t="s">
        <v>93</v>
      </c>
      <c r="J546" s="5"/>
    </row>
    <row r="547" spans="1:10" ht="26.4" x14ac:dyDescent="0.25">
      <c r="A547" s="19" t="s">
        <v>293</v>
      </c>
      <c r="B547" s="5" t="s">
        <v>294</v>
      </c>
      <c r="C547" s="15">
        <v>3</v>
      </c>
      <c r="D547" s="16" t="s">
        <v>1050</v>
      </c>
      <c r="E547" s="19" t="s">
        <v>367</v>
      </c>
      <c r="F547" s="5" t="s">
        <v>1051</v>
      </c>
      <c r="G547" s="5"/>
      <c r="H547" s="19" t="s">
        <v>1052</v>
      </c>
      <c r="I547" s="15" t="s">
        <v>93</v>
      </c>
      <c r="J547" s="5"/>
    </row>
    <row r="548" spans="1:10" x14ac:dyDescent="0.25">
      <c r="A548" s="19" t="s">
        <v>297</v>
      </c>
      <c r="B548" s="5" t="s">
        <v>298</v>
      </c>
      <c r="C548" s="15">
        <v>1</v>
      </c>
      <c r="D548" s="16" t="s">
        <v>336</v>
      </c>
      <c r="E548" s="19" t="s">
        <v>367</v>
      </c>
      <c r="F548" s="5" t="s">
        <v>338</v>
      </c>
      <c r="G548" s="5"/>
      <c r="H548" s="19" t="s">
        <v>339</v>
      </c>
      <c r="I548" s="15" t="s">
        <v>93</v>
      </c>
      <c r="J548" s="5"/>
    </row>
    <row r="549" spans="1:10" x14ac:dyDescent="0.25">
      <c r="A549" s="19" t="s">
        <v>297</v>
      </c>
      <c r="B549" s="5" t="s">
        <v>298</v>
      </c>
      <c r="C549" s="15">
        <v>2</v>
      </c>
      <c r="D549" s="16" t="s">
        <v>563</v>
      </c>
      <c r="E549" s="19" t="s">
        <v>1053</v>
      </c>
      <c r="F549" s="5" t="s">
        <v>685</v>
      </c>
      <c r="G549" s="5"/>
      <c r="H549" s="19"/>
      <c r="I549" s="15" t="s">
        <v>93</v>
      </c>
      <c r="J549" s="5"/>
    </row>
    <row r="550" spans="1:10" ht="26.4" x14ac:dyDescent="0.25">
      <c r="A550" s="19" t="s">
        <v>297</v>
      </c>
      <c r="B550" s="5" t="s">
        <v>298</v>
      </c>
      <c r="C550" s="15">
        <v>3</v>
      </c>
      <c r="D550" s="16" t="s">
        <v>1054</v>
      </c>
      <c r="E550" s="19" t="s">
        <v>367</v>
      </c>
      <c r="F550" s="5" t="s">
        <v>1055</v>
      </c>
      <c r="G550" s="5"/>
      <c r="H550" s="19" t="s">
        <v>1056</v>
      </c>
      <c r="I550" s="15" t="s">
        <v>93</v>
      </c>
      <c r="J550" s="5"/>
    </row>
    <row r="551" spans="1:10" x14ac:dyDescent="0.25">
      <c r="A551" s="19" t="s">
        <v>297</v>
      </c>
      <c r="B551" s="5" t="s">
        <v>298</v>
      </c>
      <c r="C551" s="15">
        <v>4</v>
      </c>
      <c r="D551" s="16" t="s">
        <v>1057</v>
      </c>
      <c r="E551" s="19" t="s">
        <v>659</v>
      </c>
      <c r="F551" s="5" t="s">
        <v>1058</v>
      </c>
      <c r="G551" s="5"/>
      <c r="H551" s="19" t="s">
        <v>341</v>
      </c>
      <c r="I551" s="15" t="s">
        <v>93</v>
      </c>
      <c r="J551" s="5"/>
    </row>
    <row r="552" spans="1:10" x14ac:dyDescent="0.25">
      <c r="A552" s="19" t="s">
        <v>300</v>
      </c>
      <c r="B552" s="5" t="s">
        <v>301</v>
      </c>
      <c r="C552" s="15">
        <v>1</v>
      </c>
      <c r="D552" s="16" t="s">
        <v>336</v>
      </c>
      <c r="E552" s="19" t="s">
        <v>367</v>
      </c>
      <c r="F552" s="5" t="s">
        <v>338</v>
      </c>
      <c r="G552" s="5"/>
      <c r="H552" s="19" t="s">
        <v>339</v>
      </c>
      <c r="I552" s="15" t="s">
        <v>93</v>
      </c>
      <c r="J552" s="5"/>
    </row>
    <row r="553" spans="1:10" ht="26.4" x14ac:dyDescent="0.25">
      <c r="A553" s="19" t="s">
        <v>300</v>
      </c>
      <c r="B553" s="5" t="s">
        <v>301</v>
      </c>
      <c r="C553" s="15">
        <v>2</v>
      </c>
      <c r="D553" s="16" t="s">
        <v>1059</v>
      </c>
      <c r="E553" s="19" t="s">
        <v>1060</v>
      </c>
      <c r="F553" s="5" t="s">
        <v>1061</v>
      </c>
      <c r="G553" s="5"/>
      <c r="H553" s="19"/>
      <c r="I553" s="15" t="s">
        <v>93</v>
      </c>
      <c r="J553" s="7" t="s">
        <v>488</v>
      </c>
    </row>
    <row r="554" spans="1:10" x14ac:dyDescent="0.25">
      <c r="A554" s="19" t="s">
        <v>300</v>
      </c>
      <c r="B554" s="5" t="s">
        <v>301</v>
      </c>
      <c r="C554" s="15">
        <v>3</v>
      </c>
      <c r="D554" s="16" t="s">
        <v>1062</v>
      </c>
      <c r="E554" s="19" t="s">
        <v>371</v>
      </c>
      <c r="F554" s="5" t="s">
        <v>1063</v>
      </c>
      <c r="G554" s="5"/>
      <c r="H554" s="19"/>
      <c r="I554" s="15" t="s">
        <v>418</v>
      </c>
      <c r="J554" s="5"/>
    </row>
    <row r="555" spans="1:10" ht="26.4" x14ac:dyDescent="0.25">
      <c r="A555" s="19" t="s">
        <v>300</v>
      </c>
      <c r="B555" s="5" t="s">
        <v>301</v>
      </c>
      <c r="C555" s="15">
        <v>4</v>
      </c>
      <c r="D555" s="16" t="s">
        <v>1064</v>
      </c>
      <c r="E555" s="19" t="s">
        <v>528</v>
      </c>
      <c r="F555" s="5" t="s">
        <v>1065</v>
      </c>
      <c r="G555" s="5"/>
      <c r="H555" s="19"/>
      <c r="I555" s="15" t="s">
        <v>93</v>
      </c>
      <c r="J555" s="5"/>
    </row>
    <row r="556" spans="1:10" x14ac:dyDescent="0.25">
      <c r="A556" s="19" t="s">
        <v>300</v>
      </c>
      <c r="B556" s="5" t="s">
        <v>301</v>
      </c>
      <c r="C556" s="15">
        <v>5</v>
      </c>
      <c r="D556" s="16" t="s">
        <v>479</v>
      </c>
      <c r="E556" s="19" t="s">
        <v>1047</v>
      </c>
      <c r="F556" s="5" t="s">
        <v>1066</v>
      </c>
      <c r="G556" s="5"/>
      <c r="H556" s="19" t="s">
        <v>341</v>
      </c>
      <c r="I556" s="15" t="s">
        <v>93</v>
      </c>
      <c r="J556" s="7" t="s">
        <v>567</v>
      </c>
    </row>
    <row r="557" spans="1:10" x14ac:dyDescent="0.25">
      <c r="A557" s="19" t="s">
        <v>300</v>
      </c>
      <c r="B557" s="5" t="s">
        <v>301</v>
      </c>
      <c r="C557" s="15">
        <v>6</v>
      </c>
      <c r="D557" s="16" t="s">
        <v>1067</v>
      </c>
      <c r="E557" s="19" t="s">
        <v>1047</v>
      </c>
      <c r="F557" s="5" t="s">
        <v>685</v>
      </c>
      <c r="G557" s="5"/>
      <c r="H557" s="19"/>
      <c r="I557" s="15" t="s">
        <v>93</v>
      </c>
      <c r="J557" s="7" t="s">
        <v>686</v>
      </c>
    </row>
    <row r="558" spans="1:10" x14ac:dyDescent="0.25">
      <c r="A558" s="19" t="s">
        <v>300</v>
      </c>
      <c r="B558" s="5" t="s">
        <v>301</v>
      </c>
      <c r="C558" s="15">
        <v>7</v>
      </c>
      <c r="D558" s="16" t="s">
        <v>1068</v>
      </c>
      <c r="E558" s="19" t="s">
        <v>1047</v>
      </c>
      <c r="F558" s="5" t="s">
        <v>1069</v>
      </c>
      <c r="G558" s="5"/>
      <c r="H558" s="19"/>
      <c r="I558" s="15" t="s">
        <v>93</v>
      </c>
      <c r="J558" s="7" t="s">
        <v>686</v>
      </c>
    </row>
    <row r="559" spans="1:10" x14ac:dyDescent="0.25">
      <c r="A559" s="19" t="s">
        <v>300</v>
      </c>
      <c r="B559" s="5" t="s">
        <v>301</v>
      </c>
      <c r="C559" s="15">
        <v>8</v>
      </c>
      <c r="D559" s="16" t="s">
        <v>1070</v>
      </c>
      <c r="E559" s="19" t="s">
        <v>1071</v>
      </c>
      <c r="F559" s="5" t="s">
        <v>1072</v>
      </c>
      <c r="G559" s="5"/>
      <c r="H559" s="19"/>
      <c r="I559" s="15" t="s">
        <v>93</v>
      </c>
      <c r="J559" s="7" t="s">
        <v>1073</v>
      </c>
    </row>
    <row r="560" spans="1:10" ht="26.4" x14ac:dyDescent="0.25">
      <c r="A560" s="19" t="s">
        <v>300</v>
      </c>
      <c r="B560" s="5" t="s">
        <v>301</v>
      </c>
      <c r="C560" s="15">
        <v>9</v>
      </c>
      <c r="D560" s="16" t="s">
        <v>1074</v>
      </c>
      <c r="E560" s="19" t="s">
        <v>528</v>
      </c>
      <c r="F560" s="5" t="s">
        <v>1075</v>
      </c>
      <c r="G560" s="5"/>
      <c r="H560" s="19"/>
      <c r="I560" s="15" t="s">
        <v>93</v>
      </c>
      <c r="J560" s="5"/>
    </row>
    <row r="561" spans="1:10" ht="26.4" x14ac:dyDescent="0.25">
      <c r="A561" s="19" t="s">
        <v>300</v>
      </c>
      <c r="B561" s="5" t="s">
        <v>301</v>
      </c>
      <c r="C561" s="15">
        <v>10</v>
      </c>
      <c r="D561" s="16" t="s">
        <v>1076</v>
      </c>
      <c r="E561" s="19" t="s">
        <v>528</v>
      </c>
      <c r="F561" s="5" t="s">
        <v>1077</v>
      </c>
      <c r="G561" s="5"/>
      <c r="H561" s="19"/>
      <c r="I561" s="15" t="s">
        <v>93</v>
      </c>
      <c r="J561" s="5"/>
    </row>
    <row r="562" spans="1:10" x14ac:dyDescent="0.25">
      <c r="A562" s="19" t="s">
        <v>300</v>
      </c>
      <c r="B562" s="5" t="s">
        <v>301</v>
      </c>
      <c r="C562" s="15">
        <v>11</v>
      </c>
      <c r="D562" s="16" t="s">
        <v>304</v>
      </c>
      <c r="E562" s="19" t="s">
        <v>371</v>
      </c>
      <c r="F562" s="5" t="s">
        <v>1078</v>
      </c>
      <c r="G562" s="5"/>
      <c r="H562" s="19"/>
      <c r="I562" s="15" t="s">
        <v>93</v>
      </c>
      <c r="J562" s="5"/>
    </row>
    <row r="563" spans="1:10" x14ac:dyDescent="0.25">
      <c r="A563" s="19" t="s">
        <v>305</v>
      </c>
      <c r="B563" s="5" t="s">
        <v>306</v>
      </c>
      <c r="C563" s="15">
        <v>1</v>
      </c>
      <c r="D563" s="16" t="s">
        <v>336</v>
      </c>
      <c r="E563" s="19" t="s">
        <v>337</v>
      </c>
      <c r="F563" s="5" t="s">
        <v>338</v>
      </c>
      <c r="G563" s="5"/>
      <c r="H563" s="19" t="s">
        <v>339</v>
      </c>
      <c r="I563" s="15" t="s">
        <v>93</v>
      </c>
      <c r="J563" s="5"/>
    </row>
    <row r="564" spans="1:10" x14ac:dyDescent="0.25">
      <c r="A564" s="19" t="s">
        <v>305</v>
      </c>
      <c r="B564" s="5" t="s">
        <v>306</v>
      </c>
      <c r="C564" s="15">
        <v>2</v>
      </c>
      <c r="D564" s="16" t="s">
        <v>715</v>
      </c>
      <c r="E564" s="19" t="s">
        <v>367</v>
      </c>
      <c r="F564" s="5" t="s">
        <v>1079</v>
      </c>
      <c r="G564" s="5"/>
      <c r="H564" s="19" t="s">
        <v>1080</v>
      </c>
      <c r="I564" s="15" t="s">
        <v>93</v>
      </c>
      <c r="J564" s="5"/>
    </row>
    <row r="565" spans="1:10" x14ac:dyDescent="0.25">
      <c r="A565" s="19" t="s">
        <v>305</v>
      </c>
      <c r="B565" s="5" t="s">
        <v>306</v>
      </c>
      <c r="C565" s="15">
        <v>3</v>
      </c>
      <c r="D565" s="16" t="s">
        <v>746</v>
      </c>
      <c r="E565" s="19" t="s">
        <v>367</v>
      </c>
      <c r="F565" s="5" t="s">
        <v>1048</v>
      </c>
      <c r="G565" s="5"/>
      <c r="H565" s="19" t="s">
        <v>1081</v>
      </c>
      <c r="I565" s="15" t="s">
        <v>93</v>
      </c>
      <c r="J565" s="5"/>
    </row>
    <row r="566" spans="1:10" x14ac:dyDescent="0.25">
      <c r="A566" s="19" t="s">
        <v>308</v>
      </c>
      <c r="B566" s="5" t="s">
        <v>309</v>
      </c>
      <c r="C566" s="15">
        <v>1</v>
      </c>
      <c r="D566" s="16" t="s">
        <v>336</v>
      </c>
      <c r="E566" s="19" t="s">
        <v>337</v>
      </c>
      <c r="F566" s="5" t="s">
        <v>338</v>
      </c>
      <c r="G566" s="5"/>
      <c r="H566" s="19" t="s">
        <v>339</v>
      </c>
      <c r="I566" s="15" t="s">
        <v>93</v>
      </c>
      <c r="J566" s="5"/>
    </row>
    <row r="567" spans="1:10" x14ac:dyDescent="0.25">
      <c r="A567" s="19" t="s">
        <v>308</v>
      </c>
      <c r="B567" s="5" t="s">
        <v>309</v>
      </c>
      <c r="C567" s="15">
        <v>2</v>
      </c>
      <c r="D567" s="16" t="s">
        <v>715</v>
      </c>
      <c r="E567" s="19" t="s">
        <v>367</v>
      </c>
      <c r="F567" s="5" t="s">
        <v>1079</v>
      </c>
      <c r="G567" s="5"/>
      <c r="H567" s="19" t="s">
        <v>1082</v>
      </c>
      <c r="I567" s="15" t="s">
        <v>93</v>
      </c>
      <c r="J567" s="5"/>
    </row>
    <row r="568" spans="1:10" ht="26.4" x14ac:dyDescent="0.25">
      <c r="A568" s="19" t="s">
        <v>308</v>
      </c>
      <c r="B568" s="5" t="s">
        <v>309</v>
      </c>
      <c r="C568" s="15">
        <v>3</v>
      </c>
      <c r="D568" s="16" t="s">
        <v>1050</v>
      </c>
      <c r="E568" s="19" t="s">
        <v>367</v>
      </c>
      <c r="F568" s="5" t="s">
        <v>1051</v>
      </c>
      <c r="G568" s="5"/>
      <c r="H568" s="19" t="s">
        <v>1083</v>
      </c>
      <c r="I568" s="15" t="s">
        <v>93</v>
      </c>
      <c r="J568" s="5"/>
    </row>
    <row r="569" spans="1:10" x14ac:dyDescent="0.25">
      <c r="A569" s="19" t="s">
        <v>310</v>
      </c>
      <c r="B569" s="5" t="s">
        <v>311</v>
      </c>
      <c r="C569" s="15">
        <v>1</v>
      </c>
      <c r="D569" s="16" t="s">
        <v>336</v>
      </c>
      <c r="E569" s="19" t="s">
        <v>367</v>
      </c>
      <c r="F569" s="5" t="s">
        <v>338</v>
      </c>
      <c r="G569" s="5"/>
      <c r="H569" s="19" t="s">
        <v>339</v>
      </c>
      <c r="I569" s="15" t="s">
        <v>93</v>
      </c>
      <c r="J569" s="5"/>
    </row>
    <row r="570" spans="1:10" x14ac:dyDescent="0.25">
      <c r="A570" s="19" t="s">
        <v>310</v>
      </c>
      <c r="B570" s="5" t="s">
        <v>311</v>
      </c>
      <c r="C570" s="15">
        <v>2</v>
      </c>
      <c r="D570" s="16" t="s">
        <v>313</v>
      </c>
      <c r="E570" s="19" t="s">
        <v>371</v>
      </c>
      <c r="F570" s="5" t="s">
        <v>1084</v>
      </c>
      <c r="G570" s="5"/>
      <c r="H570" s="19"/>
      <c r="I570" s="15" t="s">
        <v>93</v>
      </c>
      <c r="J570" s="5"/>
    </row>
    <row r="571" spans="1:10" x14ac:dyDescent="0.25">
      <c r="A571" s="19" t="s">
        <v>310</v>
      </c>
      <c r="B571" s="5" t="s">
        <v>311</v>
      </c>
      <c r="C571" s="15">
        <v>3</v>
      </c>
      <c r="D571" s="16" t="s">
        <v>453</v>
      </c>
      <c r="E571" s="19" t="s">
        <v>486</v>
      </c>
      <c r="F571" s="5" t="s">
        <v>1085</v>
      </c>
      <c r="G571" s="5"/>
      <c r="H571" s="19"/>
      <c r="I571" s="15" t="s">
        <v>418</v>
      </c>
      <c r="J571" s="5"/>
    </row>
    <row r="572" spans="1:10" x14ac:dyDescent="0.25">
      <c r="A572" s="19" t="s">
        <v>310</v>
      </c>
      <c r="B572" s="5" t="s">
        <v>311</v>
      </c>
      <c r="C572" s="15">
        <v>4</v>
      </c>
      <c r="D572" s="16" t="s">
        <v>1086</v>
      </c>
      <c r="E572" s="19" t="s">
        <v>422</v>
      </c>
      <c r="F572" s="5" t="s">
        <v>1087</v>
      </c>
      <c r="G572" s="5"/>
      <c r="H572" s="19"/>
      <c r="I572" s="15" t="s">
        <v>93</v>
      </c>
      <c r="J572" s="5"/>
    </row>
    <row r="573" spans="1:10" x14ac:dyDescent="0.25">
      <c r="A573" s="19" t="s">
        <v>310</v>
      </c>
      <c r="B573" s="5" t="s">
        <v>311</v>
      </c>
      <c r="C573" s="15">
        <v>5</v>
      </c>
      <c r="D573" s="16" t="s">
        <v>1088</v>
      </c>
      <c r="E573" s="19" t="s">
        <v>916</v>
      </c>
      <c r="F573" s="5" t="s">
        <v>1089</v>
      </c>
      <c r="G573" s="5" t="s">
        <v>1090</v>
      </c>
      <c r="H573" s="19"/>
      <c r="I573" s="15" t="s">
        <v>93</v>
      </c>
      <c r="J573" s="5"/>
    </row>
    <row r="574" spans="1:10" x14ac:dyDescent="0.25">
      <c r="A574" s="19" t="s">
        <v>310</v>
      </c>
      <c r="B574" s="5" t="s">
        <v>311</v>
      </c>
      <c r="C574" s="15">
        <v>6</v>
      </c>
      <c r="D574" s="16" t="s">
        <v>1091</v>
      </c>
      <c r="E574" s="19" t="s">
        <v>486</v>
      </c>
      <c r="F574" s="5" t="s">
        <v>1092</v>
      </c>
      <c r="G574" s="5"/>
      <c r="H574" s="19"/>
      <c r="I574" s="15" t="s">
        <v>93</v>
      </c>
      <c r="J574" s="5"/>
    </row>
    <row r="575" spans="1:10" x14ac:dyDescent="0.25">
      <c r="A575" s="19" t="s">
        <v>310</v>
      </c>
      <c r="B575" s="5" t="s">
        <v>311</v>
      </c>
      <c r="C575" s="15">
        <v>7</v>
      </c>
      <c r="D575" s="16" t="s">
        <v>1054</v>
      </c>
      <c r="E575" s="19" t="s">
        <v>367</v>
      </c>
      <c r="F575" s="5" t="s">
        <v>1093</v>
      </c>
      <c r="G575" s="5"/>
      <c r="H575" s="19" t="s">
        <v>1094</v>
      </c>
      <c r="I575" s="15" t="s">
        <v>418</v>
      </c>
      <c r="J575" s="5"/>
    </row>
    <row r="576" spans="1:10" x14ac:dyDescent="0.25">
      <c r="A576" s="19" t="s">
        <v>310</v>
      </c>
      <c r="B576" s="5" t="s">
        <v>311</v>
      </c>
      <c r="C576" s="15">
        <v>8</v>
      </c>
      <c r="D576" s="16" t="s">
        <v>715</v>
      </c>
      <c r="E576" s="19" t="s">
        <v>367</v>
      </c>
      <c r="F576" s="5" t="s">
        <v>1095</v>
      </c>
      <c r="G576" s="5"/>
      <c r="H576" s="19" t="s">
        <v>1096</v>
      </c>
      <c r="I576" s="15" t="s">
        <v>93</v>
      </c>
      <c r="J576" s="5"/>
    </row>
    <row r="577" spans="1:10" x14ac:dyDescent="0.25">
      <c r="A577" s="19" t="s">
        <v>314</v>
      </c>
      <c r="B577" s="5" t="s">
        <v>315</v>
      </c>
      <c r="C577" s="15">
        <v>1</v>
      </c>
      <c r="D577" s="16" t="s">
        <v>336</v>
      </c>
      <c r="E577" s="19" t="s">
        <v>367</v>
      </c>
      <c r="F577" s="5" t="s">
        <v>338</v>
      </c>
      <c r="G577" s="5"/>
      <c r="H577" s="19" t="s">
        <v>339</v>
      </c>
      <c r="I577" s="15" t="s">
        <v>93</v>
      </c>
      <c r="J577" s="5"/>
    </row>
    <row r="578" spans="1:10" x14ac:dyDescent="0.25">
      <c r="A578" s="19" t="s">
        <v>314</v>
      </c>
      <c r="B578" s="5" t="s">
        <v>315</v>
      </c>
      <c r="C578" s="15">
        <v>3</v>
      </c>
      <c r="D578" s="16" t="s">
        <v>1097</v>
      </c>
      <c r="E578" s="19" t="s">
        <v>659</v>
      </c>
      <c r="F578" s="5" t="s">
        <v>1098</v>
      </c>
      <c r="G578" s="5"/>
      <c r="H578" s="19" t="s">
        <v>341</v>
      </c>
      <c r="I578" s="15" t="s">
        <v>93</v>
      </c>
      <c r="J578" s="5"/>
    </row>
    <row r="579" spans="1:10" x14ac:dyDescent="0.25">
      <c r="A579" s="19" t="s">
        <v>314</v>
      </c>
      <c r="B579" s="5" t="s">
        <v>315</v>
      </c>
      <c r="C579" s="15">
        <v>4</v>
      </c>
      <c r="D579" s="16" t="s">
        <v>632</v>
      </c>
      <c r="E579" s="19" t="s">
        <v>659</v>
      </c>
      <c r="F579" s="5" t="s">
        <v>1099</v>
      </c>
      <c r="G579" s="5"/>
      <c r="H579" s="19" t="s">
        <v>341</v>
      </c>
      <c r="I579" s="15" t="s">
        <v>93</v>
      </c>
      <c r="J579" s="5"/>
    </row>
    <row r="580" spans="1:10" x14ac:dyDescent="0.25">
      <c r="A580" s="19" t="s">
        <v>316</v>
      </c>
      <c r="B580" s="5" t="s">
        <v>317</v>
      </c>
      <c r="C580" s="15">
        <v>1</v>
      </c>
      <c r="D580" s="16" t="s">
        <v>336</v>
      </c>
      <c r="E580" s="19" t="s">
        <v>337</v>
      </c>
      <c r="F580" s="5" t="s">
        <v>338</v>
      </c>
      <c r="G580" s="5"/>
      <c r="H580" s="19" t="s">
        <v>339</v>
      </c>
      <c r="I580" s="15" t="s">
        <v>93</v>
      </c>
      <c r="J580" s="5"/>
    </row>
    <row r="581" spans="1:10" x14ac:dyDescent="0.25">
      <c r="A581" s="19" t="s">
        <v>316</v>
      </c>
      <c r="B581" s="5" t="s">
        <v>317</v>
      </c>
      <c r="C581" s="15">
        <v>2</v>
      </c>
      <c r="D581" s="16" t="s">
        <v>1100</v>
      </c>
      <c r="E581" s="19" t="s">
        <v>1053</v>
      </c>
      <c r="F581" s="5" t="s">
        <v>1098</v>
      </c>
      <c r="G581" s="5"/>
      <c r="H581" s="19"/>
      <c r="I581" s="15" t="s">
        <v>93</v>
      </c>
      <c r="J581" s="5"/>
    </row>
    <row r="582" spans="1:10" x14ac:dyDescent="0.25">
      <c r="A582" s="19" t="s">
        <v>316</v>
      </c>
      <c r="B582" s="5" t="s">
        <v>317</v>
      </c>
      <c r="C582" s="15">
        <v>3</v>
      </c>
      <c r="D582" s="16" t="s">
        <v>563</v>
      </c>
      <c r="E582" s="19" t="s">
        <v>1053</v>
      </c>
      <c r="F582" s="5" t="s">
        <v>1101</v>
      </c>
      <c r="G582" s="5"/>
      <c r="H582" s="19"/>
      <c r="I582" s="15" t="s">
        <v>93</v>
      </c>
      <c r="J582" s="5"/>
    </row>
    <row r="583" spans="1:10" x14ac:dyDescent="0.25">
      <c r="A583" s="19" t="s">
        <v>316</v>
      </c>
      <c r="B583" s="5" t="s">
        <v>317</v>
      </c>
      <c r="C583" s="15">
        <v>4</v>
      </c>
      <c r="D583" s="16" t="s">
        <v>320</v>
      </c>
      <c r="E583" s="19" t="s">
        <v>371</v>
      </c>
      <c r="F583" s="5" t="s">
        <v>1102</v>
      </c>
      <c r="G583" s="5"/>
      <c r="H583" s="19"/>
      <c r="I583" s="15" t="s">
        <v>93</v>
      </c>
      <c r="J583" s="5"/>
    </row>
    <row r="584" spans="1:10" x14ac:dyDescent="0.25">
      <c r="A584" s="19" t="s">
        <v>321</v>
      </c>
      <c r="B584" s="5" t="s">
        <v>322</v>
      </c>
      <c r="C584" s="15">
        <v>1</v>
      </c>
      <c r="D584" s="16" t="s">
        <v>1103</v>
      </c>
      <c r="E584" s="19" t="s">
        <v>446</v>
      </c>
      <c r="F584" s="5" t="s">
        <v>1104</v>
      </c>
      <c r="G584" s="5"/>
      <c r="H584" s="19" t="s">
        <v>339</v>
      </c>
      <c r="I584" s="15" t="s">
        <v>93</v>
      </c>
      <c r="J584" s="5"/>
    </row>
    <row r="585" spans="1:10" ht="26.4" x14ac:dyDescent="0.25">
      <c r="A585" s="19" t="s">
        <v>321</v>
      </c>
      <c r="B585" s="5" t="s">
        <v>322</v>
      </c>
      <c r="C585" s="15">
        <v>2</v>
      </c>
      <c r="D585" s="16" t="s">
        <v>1105</v>
      </c>
      <c r="E585" s="19" t="s">
        <v>486</v>
      </c>
      <c r="F585" s="5" t="s">
        <v>1106</v>
      </c>
      <c r="G585" s="5"/>
      <c r="H585" s="19"/>
      <c r="I585" s="15" t="s">
        <v>93</v>
      </c>
      <c r="J585" s="7" t="s">
        <v>488</v>
      </c>
    </row>
    <row r="586" spans="1:10" x14ac:dyDescent="0.25">
      <c r="A586" s="19" t="s">
        <v>321</v>
      </c>
      <c r="B586" s="5" t="s">
        <v>322</v>
      </c>
      <c r="C586" s="15">
        <v>3</v>
      </c>
      <c r="D586" s="16" t="s">
        <v>1107</v>
      </c>
      <c r="E586" s="19" t="s">
        <v>371</v>
      </c>
      <c r="F586" s="5" t="s">
        <v>1108</v>
      </c>
      <c r="G586" s="5"/>
      <c r="H586" s="19"/>
      <c r="I586" s="15" t="s">
        <v>93</v>
      </c>
      <c r="J586" s="5"/>
    </row>
  </sheetData>
  <autoFilter ref="A4:J586" xr:uid="{00000000-0009-0000-0000-000002000000}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3"/>
  <sheetViews>
    <sheetView showGridLines="0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30" customWidth="1"/>
    <col min="2" max="2" width="20" customWidth="1"/>
    <col min="3" max="3" width="32" customWidth="1"/>
    <col min="4" max="4" width="16" customWidth="1"/>
    <col min="5" max="5" width="12" customWidth="1"/>
    <col min="6" max="6" width="60" customWidth="1"/>
  </cols>
  <sheetData>
    <row r="1" spans="1:6" ht="17.399999999999999" x14ac:dyDescent="0.3">
      <c r="A1" s="1" t="s">
        <v>1109</v>
      </c>
    </row>
    <row r="2" spans="1:6" x14ac:dyDescent="0.25">
      <c r="A2" s="2" t="s">
        <v>1110</v>
      </c>
    </row>
    <row r="4" spans="1:6" ht="30" customHeight="1" x14ac:dyDescent="0.25">
      <c r="A4" s="14" t="s">
        <v>1111</v>
      </c>
      <c r="B4" s="14" t="s">
        <v>11</v>
      </c>
      <c r="C4" s="14" t="s">
        <v>1112</v>
      </c>
      <c r="D4" s="14" t="s">
        <v>11</v>
      </c>
      <c r="E4" s="14" t="s">
        <v>415</v>
      </c>
      <c r="F4" s="14" t="s">
        <v>85</v>
      </c>
    </row>
    <row r="5" spans="1:6" x14ac:dyDescent="0.25">
      <c r="A5" s="19" t="s">
        <v>203</v>
      </c>
      <c r="B5" s="19" t="s">
        <v>710</v>
      </c>
      <c r="C5" s="19" t="s">
        <v>188</v>
      </c>
      <c r="D5" s="19" t="s">
        <v>618</v>
      </c>
      <c r="E5" s="15" t="s">
        <v>1113</v>
      </c>
      <c r="F5" s="5"/>
    </row>
    <row r="6" spans="1:6" x14ac:dyDescent="0.25">
      <c r="A6" s="19" t="s">
        <v>208</v>
      </c>
      <c r="B6" s="19" t="s">
        <v>735</v>
      </c>
      <c r="C6" s="19" t="s">
        <v>213</v>
      </c>
      <c r="D6" s="19" t="s">
        <v>336</v>
      </c>
      <c r="E6" s="15" t="s">
        <v>1113</v>
      </c>
      <c r="F6" s="5"/>
    </row>
    <row r="7" spans="1:6" x14ac:dyDescent="0.25">
      <c r="A7" s="19" t="s">
        <v>218</v>
      </c>
      <c r="B7" s="19" t="s">
        <v>710</v>
      </c>
      <c r="C7" s="19" t="s">
        <v>188</v>
      </c>
      <c r="D7" s="19" t="s">
        <v>618</v>
      </c>
      <c r="E7" s="15" t="s">
        <v>1113</v>
      </c>
      <c r="F7" s="5"/>
    </row>
    <row r="8" spans="1:6" x14ac:dyDescent="0.25">
      <c r="A8" s="19" t="s">
        <v>218</v>
      </c>
      <c r="B8" s="19" t="s">
        <v>783</v>
      </c>
      <c r="C8" s="19" t="s">
        <v>223</v>
      </c>
      <c r="D8" s="19" t="s">
        <v>336</v>
      </c>
      <c r="E8" s="15" t="s">
        <v>1113</v>
      </c>
      <c r="F8" s="5"/>
    </row>
    <row r="9" spans="1:6" x14ac:dyDescent="0.25">
      <c r="A9" s="19" t="s">
        <v>227</v>
      </c>
      <c r="B9" s="19" t="s">
        <v>783</v>
      </c>
      <c r="C9" s="19" t="s">
        <v>223</v>
      </c>
      <c r="D9" s="19" t="s">
        <v>336</v>
      </c>
      <c r="E9" s="15" t="s">
        <v>1113</v>
      </c>
      <c r="F9" s="5"/>
    </row>
    <row r="10" spans="1:6" x14ac:dyDescent="0.25">
      <c r="A10" s="19" t="s">
        <v>230</v>
      </c>
      <c r="B10" s="19" t="s">
        <v>710</v>
      </c>
      <c r="C10" s="19" t="s">
        <v>188</v>
      </c>
      <c r="D10" s="19" t="s">
        <v>618</v>
      </c>
      <c r="E10" s="15" t="s">
        <v>1113</v>
      </c>
      <c r="F10" s="5"/>
    </row>
    <row r="11" spans="1:6" x14ac:dyDescent="0.25">
      <c r="A11" s="19" t="s">
        <v>234</v>
      </c>
      <c r="B11" s="19" t="s">
        <v>841</v>
      </c>
      <c r="C11" s="19" t="s">
        <v>227</v>
      </c>
      <c r="D11" s="19" t="s">
        <v>336</v>
      </c>
      <c r="E11" s="15" t="s">
        <v>1113</v>
      </c>
      <c r="F11" s="5"/>
    </row>
    <row r="12" spans="1:6" x14ac:dyDescent="0.25">
      <c r="A12" s="19" t="s">
        <v>234</v>
      </c>
      <c r="B12" s="19" t="s">
        <v>844</v>
      </c>
      <c r="C12" s="19" t="s">
        <v>218</v>
      </c>
      <c r="D12" s="19" t="s">
        <v>336</v>
      </c>
      <c r="E12" s="15" t="s">
        <v>1113</v>
      </c>
      <c r="F12" s="5"/>
    </row>
    <row r="13" spans="1:6" x14ac:dyDescent="0.25">
      <c r="A13" s="19" t="s">
        <v>239</v>
      </c>
      <c r="B13" s="19" t="s">
        <v>844</v>
      </c>
      <c r="C13" s="19" t="s">
        <v>218</v>
      </c>
      <c r="D13" s="19" t="s">
        <v>336</v>
      </c>
      <c r="E13" s="15" t="s">
        <v>1113</v>
      </c>
      <c r="F13" s="5"/>
    </row>
    <row r="14" spans="1:6" x14ac:dyDescent="0.25">
      <c r="A14" s="19" t="s">
        <v>243</v>
      </c>
      <c r="B14" s="19" t="s">
        <v>455</v>
      </c>
      <c r="C14" s="19" t="s">
        <v>213</v>
      </c>
      <c r="D14" s="19" t="s">
        <v>336</v>
      </c>
      <c r="E14" s="15" t="s">
        <v>1113</v>
      </c>
      <c r="F14" s="5"/>
    </row>
    <row r="15" spans="1:6" x14ac:dyDescent="0.25">
      <c r="A15" s="19" t="s">
        <v>243</v>
      </c>
      <c r="B15" s="19" t="s">
        <v>875</v>
      </c>
      <c r="C15" s="19" t="s">
        <v>285</v>
      </c>
      <c r="D15" s="19" t="s">
        <v>336</v>
      </c>
      <c r="E15" s="15" t="s">
        <v>1113</v>
      </c>
      <c r="F15" s="5"/>
    </row>
    <row r="16" spans="1:6" x14ac:dyDescent="0.25">
      <c r="A16" s="19" t="s">
        <v>248</v>
      </c>
      <c r="B16" s="19" t="s">
        <v>896</v>
      </c>
      <c r="C16" s="19" t="s">
        <v>243</v>
      </c>
      <c r="D16" s="19" t="s">
        <v>336</v>
      </c>
      <c r="E16" s="15" t="s">
        <v>1113</v>
      </c>
      <c r="F16" s="5"/>
    </row>
    <row r="17" spans="1:6" x14ac:dyDescent="0.25">
      <c r="A17" s="19" t="s">
        <v>248</v>
      </c>
      <c r="B17" s="19" t="s">
        <v>735</v>
      </c>
      <c r="C17" s="19" t="s">
        <v>213</v>
      </c>
      <c r="D17" s="19" t="s">
        <v>336</v>
      </c>
      <c r="E17" s="15" t="s">
        <v>1113</v>
      </c>
      <c r="F17" s="5"/>
    </row>
    <row r="18" spans="1:6" x14ac:dyDescent="0.25">
      <c r="A18" s="19" t="s">
        <v>259</v>
      </c>
      <c r="B18" s="19" t="s">
        <v>875</v>
      </c>
      <c r="C18" s="19" t="s">
        <v>285</v>
      </c>
      <c r="D18" s="19" t="s">
        <v>336</v>
      </c>
      <c r="E18" s="15" t="s">
        <v>1113</v>
      </c>
      <c r="F18" s="5"/>
    </row>
    <row r="19" spans="1:6" x14ac:dyDescent="0.25">
      <c r="A19" s="19" t="s">
        <v>263</v>
      </c>
      <c r="B19" s="19" t="s">
        <v>983</v>
      </c>
      <c r="C19" s="19" t="s">
        <v>213</v>
      </c>
      <c r="D19" s="19" t="s">
        <v>336</v>
      </c>
      <c r="E19" s="15" t="s">
        <v>1113</v>
      </c>
      <c r="F19" s="5"/>
    </row>
    <row r="20" spans="1:6" x14ac:dyDescent="0.25">
      <c r="A20" s="19" t="s">
        <v>268</v>
      </c>
      <c r="B20" s="19" t="s">
        <v>735</v>
      </c>
      <c r="C20" s="19" t="s">
        <v>213</v>
      </c>
      <c r="D20" s="19" t="s">
        <v>336</v>
      </c>
      <c r="E20" s="15" t="s">
        <v>1113</v>
      </c>
      <c r="F20" s="5"/>
    </row>
    <row r="21" spans="1:6" x14ac:dyDescent="0.25">
      <c r="A21" s="19" t="s">
        <v>274</v>
      </c>
      <c r="B21" s="19" t="s">
        <v>983</v>
      </c>
      <c r="C21" s="19" t="s">
        <v>213</v>
      </c>
      <c r="D21" s="19" t="s">
        <v>336</v>
      </c>
      <c r="E21" s="15" t="s">
        <v>1113</v>
      </c>
      <c r="F21" s="5"/>
    </row>
    <row r="22" spans="1:6" x14ac:dyDescent="0.25">
      <c r="A22" s="19" t="s">
        <v>285</v>
      </c>
      <c r="B22" s="19" t="s">
        <v>735</v>
      </c>
      <c r="C22" s="19" t="s">
        <v>213</v>
      </c>
      <c r="D22" s="19" t="s">
        <v>336</v>
      </c>
      <c r="E22" s="15" t="s">
        <v>1113</v>
      </c>
      <c r="F22" s="5"/>
    </row>
    <row r="23" spans="1:6" x14ac:dyDescent="0.25">
      <c r="A23" s="19" t="s">
        <v>293</v>
      </c>
      <c r="B23" s="19" t="s">
        <v>746</v>
      </c>
      <c r="C23" s="19" t="s">
        <v>290</v>
      </c>
      <c r="D23" s="19" t="s">
        <v>336</v>
      </c>
      <c r="E23" s="15" t="s">
        <v>1113</v>
      </c>
      <c r="F23" s="5"/>
    </row>
    <row r="24" spans="1:6" x14ac:dyDescent="0.25">
      <c r="A24" s="19" t="s">
        <v>293</v>
      </c>
      <c r="B24" s="19" t="s">
        <v>1050</v>
      </c>
      <c r="C24" s="19" t="s">
        <v>297</v>
      </c>
      <c r="D24" s="19" t="s">
        <v>336</v>
      </c>
      <c r="E24" s="15" t="s">
        <v>1113</v>
      </c>
      <c r="F24" s="5"/>
    </row>
    <row r="25" spans="1:6" x14ac:dyDescent="0.25">
      <c r="A25" s="19" t="s">
        <v>297</v>
      </c>
      <c r="B25" s="19" t="s">
        <v>1054</v>
      </c>
      <c r="C25" s="19" t="s">
        <v>314</v>
      </c>
      <c r="D25" s="19" t="s">
        <v>336</v>
      </c>
      <c r="E25" s="15" t="s">
        <v>1113</v>
      </c>
      <c r="F25" s="5"/>
    </row>
    <row r="26" spans="1:6" x14ac:dyDescent="0.25">
      <c r="A26" s="19" t="s">
        <v>305</v>
      </c>
      <c r="B26" s="19" t="s">
        <v>746</v>
      </c>
      <c r="C26" s="19" t="s">
        <v>290</v>
      </c>
      <c r="D26" s="19" t="s">
        <v>336</v>
      </c>
      <c r="E26" s="15" t="s">
        <v>1113</v>
      </c>
      <c r="F26" s="5"/>
    </row>
    <row r="27" spans="1:6" x14ac:dyDescent="0.25">
      <c r="A27" s="19" t="s">
        <v>305</v>
      </c>
      <c r="B27" s="19" t="s">
        <v>715</v>
      </c>
      <c r="C27" s="19" t="s">
        <v>300</v>
      </c>
      <c r="D27" s="19" t="s">
        <v>336</v>
      </c>
      <c r="E27" s="15" t="s">
        <v>1113</v>
      </c>
      <c r="F27" s="5"/>
    </row>
    <row r="28" spans="1:6" x14ac:dyDescent="0.25">
      <c r="A28" s="19" t="s">
        <v>308</v>
      </c>
      <c r="B28" s="19" t="s">
        <v>1050</v>
      </c>
      <c r="C28" s="19" t="s">
        <v>297</v>
      </c>
      <c r="D28" s="19" t="s">
        <v>336</v>
      </c>
      <c r="E28" s="15" t="s">
        <v>1113</v>
      </c>
      <c r="F28" s="5"/>
    </row>
    <row r="29" spans="1:6" x14ac:dyDescent="0.25">
      <c r="A29" s="19" t="s">
        <v>308</v>
      </c>
      <c r="B29" s="19" t="s">
        <v>715</v>
      </c>
      <c r="C29" s="19" t="s">
        <v>300</v>
      </c>
      <c r="D29" s="19" t="s">
        <v>336</v>
      </c>
      <c r="E29" s="15" t="s">
        <v>1113</v>
      </c>
      <c r="F29" s="5"/>
    </row>
    <row r="30" spans="1:6" x14ac:dyDescent="0.25">
      <c r="A30" s="19" t="s">
        <v>310</v>
      </c>
      <c r="B30" s="19" t="s">
        <v>1054</v>
      </c>
      <c r="C30" s="19" t="s">
        <v>314</v>
      </c>
      <c r="D30" s="19" t="s">
        <v>336</v>
      </c>
      <c r="E30" s="15" t="s">
        <v>1113</v>
      </c>
      <c r="F30" s="5"/>
    </row>
    <row r="31" spans="1:6" x14ac:dyDescent="0.25">
      <c r="A31" s="19" t="s">
        <v>310</v>
      </c>
      <c r="B31" s="19" t="s">
        <v>715</v>
      </c>
      <c r="C31" s="19" t="s">
        <v>300</v>
      </c>
      <c r="D31" s="19" t="s">
        <v>336</v>
      </c>
      <c r="E31" s="15" t="s">
        <v>1113</v>
      </c>
      <c r="F31" s="5"/>
    </row>
    <row r="32" spans="1:6" x14ac:dyDescent="0.25">
      <c r="A32" s="19" t="s">
        <v>188</v>
      </c>
      <c r="B32" s="19" t="s">
        <v>626</v>
      </c>
      <c r="C32" s="19" t="s">
        <v>184</v>
      </c>
      <c r="D32" s="19" t="s">
        <v>618</v>
      </c>
      <c r="E32" s="26" t="s">
        <v>1114</v>
      </c>
      <c r="F32" s="5" t="s">
        <v>1115</v>
      </c>
    </row>
    <row r="33" spans="1:6" ht="26.4" x14ac:dyDescent="0.25">
      <c r="A33" s="19" t="s">
        <v>274</v>
      </c>
      <c r="B33" s="19" t="s">
        <v>746</v>
      </c>
      <c r="C33" s="19" t="s">
        <v>282</v>
      </c>
      <c r="D33" s="19" t="s">
        <v>746</v>
      </c>
      <c r="E33" s="26" t="s">
        <v>1114</v>
      </c>
      <c r="F33" s="5" t="s">
        <v>1116</v>
      </c>
    </row>
    <row r="34" spans="1:6" x14ac:dyDescent="0.25">
      <c r="A34" s="19" t="s">
        <v>274</v>
      </c>
      <c r="B34" s="19" t="s">
        <v>962</v>
      </c>
      <c r="C34" s="19" t="s">
        <v>285</v>
      </c>
      <c r="D34" s="19" t="s">
        <v>715</v>
      </c>
      <c r="E34" s="26" t="s">
        <v>1114</v>
      </c>
      <c r="F34" s="5" t="s">
        <v>1117</v>
      </c>
    </row>
    <row r="35" spans="1:6" x14ac:dyDescent="0.25">
      <c r="A35" s="19" t="s">
        <v>208</v>
      </c>
      <c r="B35" s="19" t="s">
        <v>715</v>
      </c>
      <c r="C35" s="19" t="s">
        <v>285</v>
      </c>
      <c r="D35" s="19" t="s">
        <v>715</v>
      </c>
      <c r="E35" s="26" t="s">
        <v>1114</v>
      </c>
      <c r="F35" s="5" t="s">
        <v>1118</v>
      </c>
    </row>
    <row r="36" spans="1:6" x14ac:dyDescent="0.25">
      <c r="A36" s="19" t="s">
        <v>203</v>
      </c>
      <c r="B36" s="19" t="s">
        <v>707</v>
      </c>
      <c r="C36" s="19" t="s">
        <v>285</v>
      </c>
      <c r="D36" s="19" t="s">
        <v>715</v>
      </c>
      <c r="E36" s="26" t="s">
        <v>1114</v>
      </c>
      <c r="F36" s="5" t="s">
        <v>1119</v>
      </c>
    </row>
    <row r="37" spans="1:6" x14ac:dyDescent="0.25">
      <c r="A37" s="19" t="s">
        <v>218</v>
      </c>
      <c r="B37" s="19" t="s">
        <v>764</v>
      </c>
      <c r="C37" s="19" t="s">
        <v>285</v>
      </c>
      <c r="D37" s="19" t="s">
        <v>715</v>
      </c>
      <c r="E37" s="26" t="s">
        <v>1114</v>
      </c>
      <c r="F37" s="5" t="s">
        <v>1120</v>
      </c>
    </row>
    <row r="38" spans="1:6" x14ac:dyDescent="0.25">
      <c r="A38" s="19" t="s">
        <v>263</v>
      </c>
      <c r="B38" s="19" t="s">
        <v>958</v>
      </c>
      <c r="C38" s="19" t="s">
        <v>268</v>
      </c>
      <c r="D38" s="19" t="s">
        <v>958</v>
      </c>
      <c r="E38" s="26" t="s">
        <v>1114</v>
      </c>
      <c r="F38" s="5" t="s">
        <v>1121</v>
      </c>
    </row>
    <row r="39" spans="1:6" x14ac:dyDescent="0.25">
      <c r="A39" s="19" t="s">
        <v>263</v>
      </c>
      <c r="B39" s="19" t="s">
        <v>962</v>
      </c>
      <c r="C39" s="19" t="s">
        <v>268</v>
      </c>
      <c r="D39" s="19" t="s">
        <v>715</v>
      </c>
      <c r="E39" s="26" t="s">
        <v>1114</v>
      </c>
      <c r="F39" s="5" t="s">
        <v>1122</v>
      </c>
    </row>
    <row r="40" spans="1:6" x14ac:dyDescent="0.25">
      <c r="A40" s="19" t="s">
        <v>117</v>
      </c>
      <c r="B40" s="19" t="s">
        <v>453</v>
      </c>
      <c r="C40" s="19" t="s">
        <v>105</v>
      </c>
      <c r="D40" s="19" t="s">
        <v>411</v>
      </c>
      <c r="E40" s="26" t="s">
        <v>1114</v>
      </c>
      <c r="F40" s="5" t="s">
        <v>1123</v>
      </c>
    </row>
    <row r="41" spans="1:6" x14ac:dyDescent="0.25">
      <c r="A41" s="19" t="s">
        <v>117</v>
      </c>
      <c r="B41" s="19" t="s">
        <v>453</v>
      </c>
      <c r="C41" s="19" t="s">
        <v>142</v>
      </c>
      <c r="D41" s="19" t="s">
        <v>537</v>
      </c>
      <c r="E41" s="26" t="s">
        <v>1114</v>
      </c>
      <c r="F41" s="5" t="s">
        <v>1124</v>
      </c>
    </row>
    <row r="42" spans="1:6" x14ac:dyDescent="0.25">
      <c r="A42" s="19" t="s">
        <v>117</v>
      </c>
      <c r="B42" s="19" t="s">
        <v>453</v>
      </c>
      <c r="C42" s="19" t="s">
        <v>153</v>
      </c>
      <c r="D42" s="19" t="s">
        <v>537</v>
      </c>
      <c r="E42" s="26" t="s">
        <v>1114</v>
      </c>
      <c r="F42" s="5" t="s">
        <v>1125</v>
      </c>
    </row>
    <row r="43" spans="1:6" x14ac:dyDescent="0.25">
      <c r="A43" s="19" t="s">
        <v>142</v>
      </c>
      <c r="B43" s="19" t="s">
        <v>473</v>
      </c>
      <c r="C43" s="19" t="s">
        <v>122</v>
      </c>
      <c r="D43" s="19" t="s">
        <v>473</v>
      </c>
      <c r="E43" s="26" t="s">
        <v>1114</v>
      </c>
      <c r="F43" s="5" t="s">
        <v>1126</v>
      </c>
    </row>
    <row r="44" spans="1:6" x14ac:dyDescent="0.25">
      <c r="A44" s="19" t="s">
        <v>129</v>
      </c>
      <c r="B44" s="19" t="s">
        <v>473</v>
      </c>
      <c r="C44" s="19" t="s">
        <v>122</v>
      </c>
      <c r="D44" s="19" t="s">
        <v>473</v>
      </c>
      <c r="E44" s="26" t="s">
        <v>1114</v>
      </c>
      <c r="F44" s="5" t="s">
        <v>1127</v>
      </c>
    </row>
    <row r="45" spans="1:6" x14ac:dyDescent="0.25">
      <c r="A45" s="19" t="s">
        <v>153</v>
      </c>
      <c r="B45" s="19" t="s">
        <v>550</v>
      </c>
      <c r="C45" s="19" t="s">
        <v>145</v>
      </c>
      <c r="D45" s="19" t="s">
        <v>550</v>
      </c>
      <c r="E45" s="26" t="s">
        <v>1114</v>
      </c>
      <c r="F45" s="5" t="s">
        <v>1126</v>
      </c>
    </row>
    <row r="46" spans="1:6" x14ac:dyDescent="0.25">
      <c r="A46" s="19" t="s">
        <v>105</v>
      </c>
      <c r="B46" s="19" t="s">
        <v>395</v>
      </c>
      <c r="C46" s="19" t="s">
        <v>101</v>
      </c>
      <c r="D46" s="19" t="s">
        <v>395</v>
      </c>
      <c r="E46" s="26" t="s">
        <v>1114</v>
      </c>
      <c r="F46" s="5" t="s">
        <v>1128</v>
      </c>
    </row>
    <row r="47" spans="1:6" x14ac:dyDescent="0.25">
      <c r="A47" s="19" t="s">
        <v>97</v>
      </c>
      <c r="B47" s="19" t="s">
        <v>342</v>
      </c>
      <c r="C47" s="19" t="s">
        <v>87</v>
      </c>
      <c r="D47" s="19" t="s">
        <v>342</v>
      </c>
      <c r="E47" s="26" t="s">
        <v>1114</v>
      </c>
      <c r="F47" s="5" t="s">
        <v>1129</v>
      </c>
    </row>
    <row r="48" spans="1:6" x14ac:dyDescent="0.25">
      <c r="A48" s="19" t="s">
        <v>162</v>
      </c>
      <c r="B48" s="19" t="s">
        <v>574</v>
      </c>
      <c r="C48" s="19" t="s">
        <v>213</v>
      </c>
      <c r="D48" s="19" t="s">
        <v>738</v>
      </c>
      <c r="E48" s="26" t="s">
        <v>1114</v>
      </c>
      <c r="F48" s="5" t="s">
        <v>1130</v>
      </c>
    </row>
    <row r="49" spans="1:6" x14ac:dyDescent="0.25">
      <c r="A49" s="19" t="s">
        <v>177</v>
      </c>
      <c r="B49" s="19" t="s">
        <v>574</v>
      </c>
      <c r="C49" s="19" t="s">
        <v>213</v>
      </c>
      <c r="D49" s="19" t="s">
        <v>738</v>
      </c>
      <c r="E49" s="26" t="s">
        <v>1114</v>
      </c>
      <c r="F49" s="5" t="s">
        <v>1130</v>
      </c>
    </row>
    <row r="50" spans="1:6" x14ac:dyDescent="0.25">
      <c r="A50" s="19" t="s">
        <v>259</v>
      </c>
      <c r="B50" s="19" t="s">
        <v>936</v>
      </c>
      <c r="C50" s="19" t="s">
        <v>1131</v>
      </c>
      <c r="D50" s="19" t="s">
        <v>1132</v>
      </c>
      <c r="E50" s="26" t="s">
        <v>1114</v>
      </c>
      <c r="F50" s="5" t="s">
        <v>1133</v>
      </c>
    </row>
    <row r="51" spans="1:6" x14ac:dyDescent="0.25">
      <c r="A51" s="19" t="s">
        <v>253</v>
      </c>
      <c r="B51" s="19" t="s">
        <v>904</v>
      </c>
      <c r="C51" s="19" t="s">
        <v>1131</v>
      </c>
      <c r="D51" s="19" t="s">
        <v>1132</v>
      </c>
      <c r="E51" s="26" t="s">
        <v>1114</v>
      </c>
      <c r="F51" s="5" t="s">
        <v>1134</v>
      </c>
    </row>
    <row r="52" spans="1:6" x14ac:dyDescent="0.25">
      <c r="A52" s="19" t="s">
        <v>234</v>
      </c>
      <c r="B52" s="19" t="s">
        <v>830</v>
      </c>
      <c r="C52" s="19" t="s">
        <v>1135</v>
      </c>
      <c r="D52" s="19" t="s">
        <v>1136</v>
      </c>
      <c r="E52" s="26" t="s">
        <v>1114</v>
      </c>
      <c r="F52" s="5" t="s">
        <v>1137</v>
      </c>
    </row>
    <row r="53" spans="1:6" x14ac:dyDescent="0.25">
      <c r="A53" s="19" t="s">
        <v>203</v>
      </c>
      <c r="B53" s="19" t="s">
        <v>713</v>
      </c>
      <c r="C53" s="19" t="s">
        <v>1135</v>
      </c>
      <c r="D53" s="19" t="s">
        <v>1136</v>
      </c>
      <c r="E53" s="26" t="s">
        <v>1114</v>
      </c>
      <c r="F53" s="5" t="s">
        <v>1138</v>
      </c>
    </row>
  </sheetData>
  <autoFilter ref="A4:F53" xr:uid="{00000000-0009-0000-0000-000003000000}"/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46"/>
  <sheetViews>
    <sheetView showGridLines="0" workbookViewId="0"/>
  </sheetViews>
  <sheetFormatPr defaultRowHeight="13.8" x14ac:dyDescent="0.25"/>
  <cols>
    <col min="1" max="1" width="20" customWidth="1"/>
    <col min="2" max="2" width="50" customWidth="1"/>
    <col min="3" max="3" width="22" customWidth="1"/>
    <col min="4" max="4" width="7" customWidth="1"/>
    <col min="5" max="5" width="26" customWidth="1"/>
    <col min="6" max="6" width="18" customWidth="1"/>
  </cols>
  <sheetData>
    <row r="1" spans="1:6" ht="17.399999999999999" x14ac:dyDescent="0.3">
      <c r="A1" s="1" t="s">
        <v>1139</v>
      </c>
    </row>
    <row r="2" spans="1:6" x14ac:dyDescent="0.25">
      <c r="A2" s="2" t="s">
        <v>1140</v>
      </c>
    </row>
    <row r="4" spans="1:6" ht="30" customHeight="1" x14ac:dyDescent="0.25">
      <c r="A4" s="14" t="s">
        <v>15</v>
      </c>
      <c r="B4" s="14" t="s">
        <v>1141</v>
      </c>
      <c r="C4" s="14" t="s">
        <v>1142</v>
      </c>
      <c r="D4" s="14" t="s">
        <v>329</v>
      </c>
      <c r="E4" s="14" t="s">
        <v>11</v>
      </c>
      <c r="F4" s="14" t="s">
        <v>330</v>
      </c>
    </row>
    <row r="5" spans="1:6" ht="26.4" x14ac:dyDescent="0.25">
      <c r="A5" s="16" t="s">
        <v>1143</v>
      </c>
      <c r="B5" s="5" t="s">
        <v>1144</v>
      </c>
      <c r="C5" s="19" t="s">
        <v>1145</v>
      </c>
      <c r="D5" s="15">
        <v>1</v>
      </c>
      <c r="E5" s="19" t="s">
        <v>715</v>
      </c>
      <c r="F5" s="19" t="s">
        <v>412</v>
      </c>
    </row>
    <row r="6" spans="1:6" x14ac:dyDescent="0.25">
      <c r="A6" s="16"/>
      <c r="B6" s="5"/>
      <c r="C6" s="19"/>
      <c r="D6" s="15">
        <v>2</v>
      </c>
      <c r="E6" s="19" t="s">
        <v>1146</v>
      </c>
      <c r="F6" s="19" t="s">
        <v>561</v>
      </c>
    </row>
    <row r="7" spans="1:6" x14ac:dyDescent="0.25">
      <c r="A7" s="16"/>
      <c r="B7" s="5"/>
      <c r="C7" s="19"/>
      <c r="D7" s="15">
        <v>3</v>
      </c>
      <c r="E7" s="19" t="s">
        <v>477</v>
      </c>
      <c r="F7" s="19" t="s">
        <v>456</v>
      </c>
    </row>
    <row r="8" spans="1:6" x14ac:dyDescent="0.25">
      <c r="A8" s="16"/>
      <c r="B8" s="5"/>
      <c r="C8" s="19"/>
      <c r="D8" s="15">
        <v>4</v>
      </c>
      <c r="E8" s="19" t="s">
        <v>735</v>
      </c>
      <c r="F8" s="19" t="s">
        <v>337</v>
      </c>
    </row>
    <row r="9" spans="1:6" x14ac:dyDescent="0.25">
      <c r="A9" s="16"/>
      <c r="B9" s="5"/>
      <c r="C9" s="19"/>
      <c r="D9" s="15">
        <v>5</v>
      </c>
      <c r="E9" s="19" t="s">
        <v>739</v>
      </c>
      <c r="F9" s="19" t="s">
        <v>502</v>
      </c>
    </row>
    <row r="10" spans="1:6" x14ac:dyDescent="0.25">
      <c r="A10" s="16"/>
      <c r="B10" s="5"/>
      <c r="C10" s="19"/>
      <c r="D10" s="15">
        <v>6</v>
      </c>
      <c r="E10" s="19" t="s">
        <v>1147</v>
      </c>
      <c r="F10" s="19" t="s">
        <v>502</v>
      </c>
    </row>
    <row r="11" spans="1:6" x14ac:dyDescent="0.25">
      <c r="A11" s="16"/>
      <c r="B11" s="5"/>
      <c r="C11" s="19"/>
      <c r="D11" s="15">
        <v>7</v>
      </c>
      <c r="E11" s="19" t="s">
        <v>743</v>
      </c>
      <c r="F11" s="19" t="s">
        <v>444</v>
      </c>
    </row>
    <row r="12" spans="1:6" x14ac:dyDescent="0.25">
      <c r="A12" s="16"/>
      <c r="B12" s="5"/>
      <c r="C12" s="19"/>
      <c r="D12" s="15">
        <v>8</v>
      </c>
      <c r="E12" s="19" t="s">
        <v>745</v>
      </c>
      <c r="F12" s="19" t="s">
        <v>446</v>
      </c>
    </row>
    <row r="13" spans="1:6" x14ac:dyDescent="0.25">
      <c r="A13" s="16"/>
      <c r="B13" s="5"/>
      <c r="C13" s="19"/>
      <c r="D13" s="15">
        <v>9</v>
      </c>
      <c r="E13" s="19" t="s">
        <v>1148</v>
      </c>
      <c r="F13" s="19" t="s">
        <v>528</v>
      </c>
    </row>
    <row r="14" spans="1:6" x14ac:dyDescent="0.25">
      <c r="A14" s="16"/>
      <c r="B14" s="5"/>
      <c r="C14" s="19"/>
      <c r="D14" s="15">
        <v>10</v>
      </c>
      <c r="E14" s="19" t="s">
        <v>622</v>
      </c>
      <c r="F14" s="19" t="s">
        <v>528</v>
      </c>
    </row>
    <row r="15" spans="1:6" x14ac:dyDescent="0.25">
      <c r="A15" s="16" t="s">
        <v>1149</v>
      </c>
      <c r="B15" s="5" t="s">
        <v>1150</v>
      </c>
      <c r="C15" s="19" t="s">
        <v>1145</v>
      </c>
      <c r="D15" s="15">
        <v>1</v>
      </c>
      <c r="E15" s="19" t="s">
        <v>735</v>
      </c>
      <c r="F15" s="19" t="s">
        <v>337</v>
      </c>
    </row>
    <row r="16" spans="1:6" x14ac:dyDescent="0.25">
      <c r="A16" s="16"/>
      <c r="B16" s="5"/>
      <c r="C16" s="19"/>
      <c r="D16" s="15">
        <v>2</v>
      </c>
      <c r="E16" s="19" t="s">
        <v>739</v>
      </c>
      <c r="F16" s="19" t="s">
        <v>502</v>
      </c>
    </row>
    <row r="17" spans="1:6" x14ac:dyDescent="0.25">
      <c r="A17" s="16"/>
      <c r="B17" s="5"/>
      <c r="C17" s="19"/>
      <c r="D17" s="15">
        <v>3</v>
      </c>
      <c r="E17" s="19" t="s">
        <v>477</v>
      </c>
      <c r="F17" s="19" t="s">
        <v>456</v>
      </c>
    </row>
    <row r="18" spans="1:6" x14ac:dyDescent="0.25">
      <c r="A18" s="16"/>
      <c r="B18" s="5"/>
      <c r="C18" s="19"/>
      <c r="D18" s="15">
        <v>4</v>
      </c>
      <c r="E18" s="19" t="s">
        <v>1147</v>
      </c>
      <c r="F18" s="19" t="s">
        <v>502</v>
      </c>
    </row>
    <row r="19" spans="1:6" x14ac:dyDescent="0.25">
      <c r="A19" s="16"/>
      <c r="B19" s="5"/>
      <c r="C19" s="19"/>
      <c r="D19" s="15">
        <v>5</v>
      </c>
      <c r="E19" s="19" t="s">
        <v>743</v>
      </c>
      <c r="F19" s="19" t="s">
        <v>444</v>
      </c>
    </row>
    <row r="20" spans="1:6" x14ac:dyDescent="0.25">
      <c r="A20" s="16"/>
      <c r="B20" s="5"/>
      <c r="C20" s="19"/>
      <c r="D20" s="15">
        <v>6</v>
      </c>
      <c r="E20" s="19" t="s">
        <v>745</v>
      </c>
      <c r="F20" s="19" t="s">
        <v>446</v>
      </c>
    </row>
    <row r="21" spans="1:6" x14ac:dyDescent="0.25">
      <c r="A21" s="16"/>
      <c r="B21" s="5"/>
      <c r="C21" s="19"/>
      <c r="D21" s="15">
        <v>7</v>
      </c>
      <c r="E21" s="19" t="s">
        <v>85</v>
      </c>
      <c r="F21" s="19" t="s">
        <v>422</v>
      </c>
    </row>
    <row r="22" spans="1:6" x14ac:dyDescent="0.25">
      <c r="A22" s="16"/>
      <c r="B22" s="5"/>
      <c r="C22" s="19"/>
      <c r="D22" s="15">
        <v>8</v>
      </c>
      <c r="E22" s="19" t="s">
        <v>746</v>
      </c>
      <c r="F22" s="19" t="s">
        <v>412</v>
      </c>
    </row>
    <row r="23" spans="1:6" x14ac:dyDescent="0.25">
      <c r="A23" s="16"/>
      <c r="B23" s="5"/>
      <c r="C23" s="19"/>
      <c r="D23" s="15">
        <v>9</v>
      </c>
      <c r="E23" s="19" t="s">
        <v>622</v>
      </c>
      <c r="F23" s="19" t="s">
        <v>528</v>
      </c>
    </row>
    <row r="24" spans="1:6" x14ac:dyDescent="0.25">
      <c r="A24" s="16"/>
      <c r="B24" s="5"/>
      <c r="C24" s="19"/>
      <c r="D24" s="15">
        <v>10</v>
      </c>
      <c r="E24" s="19" t="s">
        <v>1148</v>
      </c>
      <c r="F24" s="19" t="s">
        <v>528</v>
      </c>
    </row>
    <row r="25" spans="1:6" x14ac:dyDescent="0.25">
      <c r="A25" s="16"/>
      <c r="B25" s="5"/>
      <c r="C25" s="19"/>
      <c r="D25" s="15">
        <v>11</v>
      </c>
      <c r="E25" s="19" t="s">
        <v>1151</v>
      </c>
      <c r="F25" s="19" t="s">
        <v>1152</v>
      </c>
    </row>
    <row r="26" spans="1:6" ht="26.4" x14ac:dyDescent="0.25">
      <c r="A26" s="16" t="s">
        <v>1153</v>
      </c>
      <c r="B26" s="5" t="s">
        <v>1154</v>
      </c>
      <c r="C26" s="19" t="s">
        <v>1145</v>
      </c>
      <c r="D26" s="15">
        <v>1</v>
      </c>
      <c r="E26" s="19" t="s">
        <v>336</v>
      </c>
      <c r="F26" s="19" t="s">
        <v>337</v>
      </c>
    </row>
    <row r="27" spans="1:6" x14ac:dyDescent="0.25">
      <c r="A27" s="16"/>
      <c r="B27" s="5"/>
      <c r="C27" s="19"/>
      <c r="D27" s="15">
        <v>2</v>
      </c>
      <c r="E27" s="19" t="s">
        <v>901</v>
      </c>
      <c r="F27" s="19" t="s">
        <v>371</v>
      </c>
    </row>
    <row r="28" spans="1:6" x14ac:dyDescent="0.25">
      <c r="A28" s="16"/>
      <c r="B28" s="5"/>
      <c r="C28" s="19"/>
      <c r="D28" s="15">
        <v>3</v>
      </c>
      <c r="E28" s="19" t="s">
        <v>72</v>
      </c>
      <c r="F28" s="19" t="s">
        <v>1155</v>
      </c>
    </row>
    <row r="29" spans="1:6" x14ac:dyDescent="0.25">
      <c r="A29" s="16"/>
      <c r="B29" s="5"/>
      <c r="C29" s="19"/>
      <c r="D29" s="15">
        <v>4</v>
      </c>
      <c r="E29" s="19" t="s">
        <v>1156</v>
      </c>
      <c r="F29" s="19" t="s">
        <v>1155</v>
      </c>
    </row>
    <row r="30" spans="1:6" x14ac:dyDescent="0.25">
      <c r="A30" s="16"/>
      <c r="B30" s="5"/>
      <c r="C30" s="19"/>
      <c r="D30" s="15">
        <v>5</v>
      </c>
      <c r="E30" s="19" t="s">
        <v>907</v>
      </c>
      <c r="F30" s="19" t="s">
        <v>502</v>
      </c>
    </row>
    <row r="31" spans="1:6" x14ac:dyDescent="0.25">
      <c r="A31" s="16"/>
      <c r="B31" s="5"/>
      <c r="C31" s="19"/>
      <c r="D31" s="15">
        <v>6</v>
      </c>
      <c r="E31" s="19" t="s">
        <v>976</v>
      </c>
      <c r="F31" s="19" t="s">
        <v>619</v>
      </c>
    </row>
    <row r="32" spans="1:6" x14ac:dyDescent="0.25">
      <c r="A32" s="16"/>
      <c r="B32" s="5"/>
      <c r="C32" s="19"/>
      <c r="D32" s="15">
        <v>7</v>
      </c>
      <c r="E32" s="19" t="s">
        <v>415</v>
      </c>
      <c r="F32" s="19" t="s">
        <v>624</v>
      </c>
    </row>
    <row r="33" spans="1:6" x14ac:dyDescent="0.25">
      <c r="A33" s="16"/>
      <c r="B33" s="5"/>
      <c r="C33" s="19"/>
      <c r="D33" s="15">
        <v>8</v>
      </c>
      <c r="E33" s="19" t="s">
        <v>908</v>
      </c>
      <c r="F33" s="19" t="s">
        <v>486</v>
      </c>
    </row>
    <row r="34" spans="1:6" x14ac:dyDescent="0.25">
      <c r="A34" s="16"/>
      <c r="B34" s="5"/>
      <c r="C34" s="19"/>
      <c r="D34" s="15">
        <v>9</v>
      </c>
      <c r="E34" s="19" t="s">
        <v>972</v>
      </c>
      <c r="F34" s="19" t="s">
        <v>528</v>
      </c>
    </row>
    <row r="35" spans="1:6" x14ac:dyDescent="0.25">
      <c r="A35" s="16"/>
      <c r="B35" s="5"/>
      <c r="C35" s="19"/>
      <c r="D35" s="15">
        <v>10</v>
      </c>
      <c r="E35" s="19" t="s">
        <v>1157</v>
      </c>
      <c r="F35" s="19" t="s">
        <v>561</v>
      </c>
    </row>
    <row r="36" spans="1:6" x14ac:dyDescent="0.25">
      <c r="A36" s="16"/>
      <c r="B36" s="5"/>
      <c r="C36" s="19"/>
      <c r="D36" s="15">
        <v>11</v>
      </c>
      <c r="E36" s="19" t="s">
        <v>746</v>
      </c>
      <c r="F36" s="19" t="s">
        <v>412</v>
      </c>
    </row>
    <row r="37" spans="1:6" ht="26.4" x14ac:dyDescent="0.25">
      <c r="A37" s="16" t="s">
        <v>1158</v>
      </c>
      <c r="B37" s="5" t="s">
        <v>1159</v>
      </c>
      <c r="C37" s="19" t="s">
        <v>1145</v>
      </c>
      <c r="D37" s="15">
        <v>1</v>
      </c>
      <c r="E37" s="19" t="s">
        <v>746</v>
      </c>
      <c r="F37" s="19" t="s">
        <v>412</v>
      </c>
    </row>
    <row r="38" spans="1:6" x14ac:dyDescent="0.25">
      <c r="A38" s="16"/>
      <c r="B38" s="5"/>
      <c r="C38" s="19"/>
      <c r="D38" s="15">
        <v>2</v>
      </c>
      <c r="E38" s="19" t="s">
        <v>1004</v>
      </c>
      <c r="F38" s="19" t="s">
        <v>817</v>
      </c>
    </row>
    <row r="39" spans="1:6" x14ac:dyDescent="0.25">
      <c r="A39" s="16"/>
      <c r="B39" s="5"/>
      <c r="C39" s="19"/>
      <c r="D39" s="15">
        <v>3</v>
      </c>
      <c r="E39" s="19" t="s">
        <v>562</v>
      </c>
      <c r="F39" s="19" t="s">
        <v>444</v>
      </c>
    </row>
    <row r="40" spans="1:6" x14ac:dyDescent="0.25">
      <c r="A40" s="16"/>
      <c r="B40" s="5"/>
      <c r="C40" s="19"/>
      <c r="D40" s="15">
        <v>4</v>
      </c>
      <c r="E40" s="19" t="s">
        <v>1028</v>
      </c>
      <c r="F40" s="19" t="s">
        <v>528</v>
      </c>
    </row>
    <row r="41" spans="1:6" x14ac:dyDescent="0.25">
      <c r="A41" s="16"/>
      <c r="B41" s="5"/>
      <c r="C41" s="19"/>
      <c r="D41" s="15">
        <v>5</v>
      </c>
      <c r="E41" s="19" t="s">
        <v>1160</v>
      </c>
      <c r="F41" s="19" t="s">
        <v>388</v>
      </c>
    </row>
    <row r="42" spans="1:6" x14ac:dyDescent="0.25">
      <c r="A42" s="16"/>
      <c r="B42" s="5"/>
      <c r="C42" s="19"/>
      <c r="D42" s="15">
        <v>6</v>
      </c>
      <c r="E42" s="19" t="s">
        <v>1161</v>
      </c>
      <c r="F42" s="19" t="s">
        <v>528</v>
      </c>
    </row>
    <row r="43" spans="1:6" x14ac:dyDescent="0.25">
      <c r="A43" s="16"/>
      <c r="B43" s="5"/>
      <c r="C43" s="19"/>
      <c r="D43" s="15">
        <v>7</v>
      </c>
      <c r="E43" s="19" t="s">
        <v>1162</v>
      </c>
      <c r="F43" s="19" t="s">
        <v>337</v>
      </c>
    </row>
    <row r="44" spans="1:6" x14ac:dyDescent="0.25">
      <c r="A44" s="16"/>
      <c r="B44" s="5"/>
      <c r="C44" s="19"/>
      <c r="D44" s="15">
        <v>8</v>
      </c>
      <c r="E44" s="19" t="s">
        <v>870</v>
      </c>
      <c r="F44" s="19" t="s">
        <v>371</v>
      </c>
    </row>
    <row r="45" spans="1:6" x14ac:dyDescent="0.25">
      <c r="A45" s="16"/>
      <c r="B45" s="5"/>
      <c r="C45" s="19"/>
      <c r="D45" s="15">
        <v>9</v>
      </c>
      <c r="E45" s="19" t="s">
        <v>1163</v>
      </c>
      <c r="F45" s="19" t="s">
        <v>371</v>
      </c>
    </row>
    <row r="46" spans="1:6" x14ac:dyDescent="0.25">
      <c r="A46" s="16"/>
      <c r="B46" s="5"/>
      <c r="C46" s="19"/>
      <c r="D46" s="15">
        <v>10</v>
      </c>
      <c r="E46" s="19" t="s">
        <v>85</v>
      </c>
      <c r="F46" s="19" t="s">
        <v>422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2"/>
  <sheetViews>
    <sheetView showGridLines="0" workbookViewId="0"/>
  </sheetViews>
  <sheetFormatPr defaultRowHeight="13.8" x14ac:dyDescent="0.25"/>
  <cols>
    <col min="1" max="1" width="52" customWidth="1"/>
    <col min="2" max="3" width="50" customWidth="1"/>
  </cols>
  <sheetData>
    <row r="1" spans="1:3" ht="17.399999999999999" x14ac:dyDescent="0.3">
      <c r="A1" s="1" t="s">
        <v>1164</v>
      </c>
    </row>
    <row r="2" spans="1:3" x14ac:dyDescent="0.25">
      <c r="A2" s="2" t="s">
        <v>1165</v>
      </c>
    </row>
    <row r="4" spans="1:3" ht="30" customHeight="1" x14ac:dyDescent="0.25">
      <c r="A4" s="14" t="s">
        <v>1166</v>
      </c>
      <c r="B4" s="14" t="s">
        <v>1167</v>
      </c>
      <c r="C4" s="14" t="s">
        <v>1168</v>
      </c>
    </row>
    <row r="5" spans="1:3" x14ac:dyDescent="0.25">
      <c r="A5" s="5" t="s">
        <v>1169</v>
      </c>
      <c r="B5" s="19" t="s">
        <v>117</v>
      </c>
      <c r="C5" s="5" t="s">
        <v>1170</v>
      </c>
    </row>
    <row r="6" spans="1:3" x14ac:dyDescent="0.25">
      <c r="A6" s="5" t="s">
        <v>1171</v>
      </c>
      <c r="B6" s="19" t="s">
        <v>101</v>
      </c>
      <c r="C6" s="5"/>
    </row>
    <row r="7" spans="1:3" x14ac:dyDescent="0.25">
      <c r="A7" s="5" t="s">
        <v>1172</v>
      </c>
      <c r="B7" s="19" t="s">
        <v>1173</v>
      </c>
      <c r="C7" s="5" t="s">
        <v>1174</v>
      </c>
    </row>
    <row r="8" spans="1:3" ht="26.4" x14ac:dyDescent="0.25">
      <c r="A8" s="5" t="s">
        <v>1175</v>
      </c>
      <c r="B8" s="19" t="s">
        <v>1176</v>
      </c>
      <c r="C8" s="5"/>
    </row>
    <row r="9" spans="1:3" x14ac:dyDescent="0.25">
      <c r="A9" s="5" t="s">
        <v>1177</v>
      </c>
      <c r="B9" s="19" t="s">
        <v>1178</v>
      </c>
      <c r="C9" s="5" t="s">
        <v>1179</v>
      </c>
    </row>
    <row r="10" spans="1:3" x14ac:dyDescent="0.25">
      <c r="A10" s="5" t="s">
        <v>1180</v>
      </c>
      <c r="B10" s="19" t="s">
        <v>203</v>
      </c>
      <c r="C10" s="5"/>
    </row>
    <row r="11" spans="1:3" x14ac:dyDescent="0.25">
      <c r="A11" s="5" t="s">
        <v>1181</v>
      </c>
      <c r="B11" s="19" t="s">
        <v>1182</v>
      </c>
      <c r="C11" s="5" t="s">
        <v>1183</v>
      </c>
    </row>
    <row r="12" spans="1:3" x14ac:dyDescent="0.25">
      <c r="A12" s="5" t="s">
        <v>1184</v>
      </c>
      <c r="B12" s="19" t="s">
        <v>213</v>
      </c>
      <c r="C12" s="5" t="s">
        <v>1185</v>
      </c>
    </row>
    <row r="13" spans="1:3" x14ac:dyDescent="0.25">
      <c r="A13" s="5" t="s">
        <v>1186</v>
      </c>
      <c r="B13" s="19" t="s">
        <v>208</v>
      </c>
      <c r="C13" s="5" t="s">
        <v>1187</v>
      </c>
    </row>
    <row r="14" spans="1:3" x14ac:dyDescent="0.25">
      <c r="A14" s="5" t="s">
        <v>1188</v>
      </c>
      <c r="B14" s="19" t="s">
        <v>259</v>
      </c>
      <c r="C14" s="5" t="s">
        <v>1189</v>
      </c>
    </row>
    <row r="15" spans="1:3" x14ac:dyDescent="0.25">
      <c r="A15" s="5" t="s">
        <v>1190</v>
      </c>
      <c r="B15" s="19" t="s">
        <v>282</v>
      </c>
      <c r="C15" s="5" t="s">
        <v>1191</v>
      </c>
    </row>
    <row r="16" spans="1:3" x14ac:dyDescent="0.25">
      <c r="A16" s="5" t="s">
        <v>1192</v>
      </c>
      <c r="B16" s="19" t="s">
        <v>1193</v>
      </c>
      <c r="C16" s="5" t="s">
        <v>1194</v>
      </c>
    </row>
    <row r="17" spans="1:3" ht="26.4" x14ac:dyDescent="0.25">
      <c r="A17" s="5" t="s">
        <v>1195</v>
      </c>
      <c r="B17" s="19" t="s">
        <v>1196</v>
      </c>
      <c r="C17" s="5" t="s">
        <v>1197</v>
      </c>
    </row>
    <row r="18" spans="1:3" x14ac:dyDescent="0.25">
      <c r="A18" s="5" t="s">
        <v>1198</v>
      </c>
      <c r="B18" s="19" t="s">
        <v>1199</v>
      </c>
      <c r="C18" s="5" t="s">
        <v>1200</v>
      </c>
    </row>
    <row r="19" spans="1:3" x14ac:dyDescent="0.25">
      <c r="A19" s="5" t="s">
        <v>1201</v>
      </c>
      <c r="B19" s="19" t="s">
        <v>177</v>
      </c>
      <c r="C19" s="5" t="s">
        <v>1202</v>
      </c>
    </row>
    <row r="20" spans="1:3" x14ac:dyDescent="0.25">
      <c r="A20" s="5" t="s">
        <v>1203</v>
      </c>
      <c r="B20" s="19" t="s">
        <v>162</v>
      </c>
      <c r="C20" s="5"/>
    </row>
    <row r="21" spans="1:3" x14ac:dyDescent="0.25">
      <c r="A21" s="5" t="s">
        <v>1204</v>
      </c>
      <c r="B21" s="19" t="s">
        <v>157</v>
      </c>
      <c r="C21" s="5" t="s">
        <v>1205</v>
      </c>
    </row>
    <row r="22" spans="1:3" x14ac:dyDescent="0.25">
      <c r="A22" s="5" t="s">
        <v>1206</v>
      </c>
      <c r="B22" s="19" t="s">
        <v>193</v>
      </c>
      <c r="C22" s="5"/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58"/>
  <sheetViews>
    <sheetView showGridLines="0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34" customWidth="1"/>
    <col min="2" max="2" width="10" customWidth="1"/>
    <col min="3" max="3" width="11" customWidth="1"/>
    <col min="4" max="4" width="13" customWidth="1"/>
    <col min="5" max="5" width="60" customWidth="1"/>
  </cols>
  <sheetData>
    <row r="1" spans="1:5" ht="17.399999999999999" x14ac:dyDescent="0.3">
      <c r="A1" s="1" t="s">
        <v>1207</v>
      </c>
    </row>
    <row r="2" spans="1:5" x14ac:dyDescent="0.25">
      <c r="A2" s="2" t="s">
        <v>1208</v>
      </c>
    </row>
    <row r="4" spans="1:5" ht="30" customHeight="1" x14ac:dyDescent="0.25">
      <c r="A4" s="14" t="s">
        <v>333</v>
      </c>
      <c r="B4" s="14" t="s">
        <v>76</v>
      </c>
      <c r="C4" s="14" t="s">
        <v>1209</v>
      </c>
      <c r="D4" s="14" t="s">
        <v>1210</v>
      </c>
      <c r="E4" s="14" t="s">
        <v>331</v>
      </c>
    </row>
    <row r="5" spans="1:5" x14ac:dyDescent="0.25">
      <c r="A5" s="19" t="s">
        <v>1211</v>
      </c>
      <c r="B5" s="27">
        <v>1</v>
      </c>
      <c r="C5" s="28">
        <v>3086.8</v>
      </c>
      <c r="D5" s="15" t="s">
        <v>114</v>
      </c>
      <c r="E5" s="5" t="s">
        <v>1212</v>
      </c>
    </row>
    <row r="6" spans="1:5" x14ac:dyDescent="0.25">
      <c r="A6" s="19" t="s">
        <v>1213</v>
      </c>
      <c r="B6" s="27">
        <v>1</v>
      </c>
      <c r="C6" s="28">
        <v>4.8</v>
      </c>
      <c r="D6" s="15" t="s">
        <v>114</v>
      </c>
      <c r="E6" s="5" t="s">
        <v>1214</v>
      </c>
    </row>
    <row r="7" spans="1:5" x14ac:dyDescent="0.25">
      <c r="A7" s="19" t="s">
        <v>1215</v>
      </c>
      <c r="B7" s="27">
        <v>228</v>
      </c>
      <c r="C7" s="28">
        <v>3.3</v>
      </c>
      <c r="D7" s="15" t="s">
        <v>114</v>
      </c>
      <c r="E7" s="5" t="s">
        <v>1216</v>
      </c>
    </row>
    <row r="8" spans="1:5" x14ac:dyDescent="0.25">
      <c r="A8" s="19" t="s">
        <v>1217</v>
      </c>
      <c r="B8" s="27">
        <v>1</v>
      </c>
      <c r="C8" s="28">
        <v>2.6</v>
      </c>
      <c r="D8" s="15" t="s">
        <v>114</v>
      </c>
      <c r="E8" s="5" t="s">
        <v>1218</v>
      </c>
    </row>
    <row r="9" spans="1:5" x14ac:dyDescent="0.25">
      <c r="A9" s="19" t="s">
        <v>1219</v>
      </c>
      <c r="B9" s="27">
        <v>37</v>
      </c>
      <c r="C9" s="28">
        <v>2.2000000000000002</v>
      </c>
      <c r="D9" s="15" t="s">
        <v>125</v>
      </c>
      <c r="E9" s="5" t="s">
        <v>1220</v>
      </c>
    </row>
    <row r="10" spans="1:5" x14ac:dyDescent="0.25">
      <c r="A10" s="19" t="s">
        <v>1221</v>
      </c>
      <c r="B10" s="27">
        <v>1</v>
      </c>
      <c r="C10" s="28">
        <v>1.9</v>
      </c>
      <c r="D10" s="15" t="s">
        <v>114</v>
      </c>
      <c r="E10" s="5" t="s">
        <v>1222</v>
      </c>
    </row>
    <row r="11" spans="1:5" x14ac:dyDescent="0.25">
      <c r="A11" s="19" t="s">
        <v>1223</v>
      </c>
      <c r="B11" s="27">
        <v>1</v>
      </c>
      <c r="C11" s="28">
        <v>1.3</v>
      </c>
      <c r="D11" s="15" t="s">
        <v>114</v>
      </c>
      <c r="E11" s="5" t="s">
        <v>1224</v>
      </c>
    </row>
    <row r="12" spans="1:5" x14ac:dyDescent="0.25">
      <c r="A12" s="19" t="s">
        <v>1225</v>
      </c>
      <c r="B12" s="27">
        <v>1</v>
      </c>
      <c r="C12" s="28">
        <v>0.7</v>
      </c>
      <c r="D12" s="15" t="s">
        <v>91</v>
      </c>
      <c r="E12" s="5" t="s">
        <v>1226</v>
      </c>
    </row>
    <row r="13" spans="1:5" x14ac:dyDescent="0.25">
      <c r="A13" s="19" t="s">
        <v>1227</v>
      </c>
      <c r="B13" s="27">
        <v>1</v>
      </c>
      <c r="C13" s="28">
        <v>0.4</v>
      </c>
      <c r="D13" s="15" t="s">
        <v>91</v>
      </c>
      <c r="E13" s="5" t="s">
        <v>1228</v>
      </c>
    </row>
    <row r="14" spans="1:5" x14ac:dyDescent="0.25">
      <c r="A14" s="19" t="s">
        <v>1229</v>
      </c>
      <c r="B14" s="27">
        <v>1</v>
      </c>
      <c r="C14" s="28">
        <v>0.4</v>
      </c>
      <c r="D14" s="15" t="s">
        <v>148</v>
      </c>
      <c r="E14" s="5" t="s">
        <v>1230</v>
      </c>
    </row>
    <row r="15" spans="1:5" x14ac:dyDescent="0.25">
      <c r="A15" s="19" t="s">
        <v>1231</v>
      </c>
      <c r="B15" s="27">
        <v>1</v>
      </c>
      <c r="C15" s="28">
        <v>0.3</v>
      </c>
      <c r="D15" s="15" t="s">
        <v>132</v>
      </c>
      <c r="E15" s="5" t="s">
        <v>1232</v>
      </c>
    </row>
    <row r="16" spans="1:5" x14ac:dyDescent="0.25">
      <c r="A16" s="19" t="s">
        <v>1233</v>
      </c>
      <c r="B16" s="27">
        <v>1</v>
      </c>
      <c r="C16" s="28">
        <v>0.3</v>
      </c>
      <c r="D16" s="15" t="s">
        <v>1234</v>
      </c>
      <c r="E16" s="5" t="s">
        <v>1235</v>
      </c>
    </row>
    <row r="17" spans="1:5" x14ac:dyDescent="0.25">
      <c r="A17" s="19" t="s">
        <v>1236</v>
      </c>
      <c r="B17" s="27">
        <v>1</v>
      </c>
      <c r="C17" s="28">
        <v>0.3</v>
      </c>
      <c r="D17" s="15" t="s">
        <v>91</v>
      </c>
      <c r="E17" s="5" t="s">
        <v>1237</v>
      </c>
    </row>
    <row r="18" spans="1:5" x14ac:dyDescent="0.25">
      <c r="A18" s="19" t="s">
        <v>1238</v>
      </c>
      <c r="B18" s="27">
        <v>1</v>
      </c>
      <c r="C18" s="28">
        <v>0.2</v>
      </c>
      <c r="D18" s="15" t="s">
        <v>114</v>
      </c>
      <c r="E18" s="5" t="s">
        <v>1239</v>
      </c>
    </row>
    <row r="19" spans="1:5" x14ac:dyDescent="0.25">
      <c r="A19" s="19" t="s">
        <v>1240</v>
      </c>
      <c r="B19" s="27">
        <v>1</v>
      </c>
      <c r="C19" s="28">
        <v>0.2</v>
      </c>
      <c r="D19" s="15" t="s">
        <v>1241</v>
      </c>
      <c r="E19" s="5" t="s">
        <v>1242</v>
      </c>
    </row>
    <row r="20" spans="1:5" x14ac:dyDescent="0.25">
      <c r="A20" s="19" t="s">
        <v>1243</v>
      </c>
      <c r="B20" s="27">
        <v>1</v>
      </c>
      <c r="C20" s="28">
        <v>0.2</v>
      </c>
      <c r="D20" s="15" t="s">
        <v>1234</v>
      </c>
      <c r="E20" s="5" t="s">
        <v>1244</v>
      </c>
    </row>
    <row r="21" spans="1:5" x14ac:dyDescent="0.25">
      <c r="A21" s="19" t="s">
        <v>1245</v>
      </c>
      <c r="B21" s="27">
        <v>1</v>
      </c>
      <c r="C21" s="28">
        <v>0.2</v>
      </c>
      <c r="D21" s="15" t="s">
        <v>1241</v>
      </c>
      <c r="E21" s="5" t="s">
        <v>1246</v>
      </c>
    </row>
    <row r="22" spans="1:5" x14ac:dyDescent="0.25">
      <c r="A22" s="19" t="s">
        <v>1247</v>
      </c>
      <c r="B22" s="27">
        <v>1</v>
      </c>
      <c r="C22" s="28">
        <v>0.2</v>
      </c>
      <c r="D22" s="15" t="s">
        <v>181</v>
      </c>
      <c r="E22" s="5" t="s">
        <v>1248</v>
      </c>
    </row>
    <row r="23" spans="1:5" x14ac:dyDescent="0.25">
      <c r="A23" s="19" t="s">
        <v>1249</v>
      </c>
      <c r="B23" s="27">
        <v>1</v>
      </c>
      <c r="C23" s="28">
        <v>0.2</v>
      </c>
      <c r="D23" s="15" t="s">
        <v>181</v>
      </c>
      <c r="E23" s="5" t="s">
        <v>1250</v>
      </c>
    </row>
    <row r="24" spans="1:5" x14ac:dyDescent="0.25">
      <c r="A24" s="19" t="s">
        <v>1251</v>
      </c>
      <c r="B24" s="27">
        <v>1</v>
      </c>
      <c r="C24" s="28">
        <v>0.2</v>
      </c>
      <c r="D24" s="15" t="s">
        <v>160</v>
      </c>
      <c r="E24" s="5" t="s">
        <v>1252</v>
      </c>
    </row>
    <row r="25" spans="1:5" x14ac:dyDescent="0.25">
      <c r="A25" s="19" t="s">
        <v>1253</v>
      </c>
      <c r="B25" s="27">
        <v>1</v>
      </c>
      <c r="C25" s="28">
        <v>0.2</v>
      </c>
      <c r="D25" s="15" t="s">
        <v>114</v>
      </c>
      <c r="E25" s="5" t="s">
        <v>1254</v>
      </c>
    </row>
    <row r="26" spans="1:5" x14ac:dyDescent="0.25">
      <c r="A26" s="19" t="s">
        <v>1255</v>
      </c>
      <c r="B26" s="27">
        <v>1</v>
      </c>
      <c r="C26" s="28">
        <v>0.2</v>
      </c>
      <c r="D26" s="15" t="s">
        <v>1234</v>
      </c>
      <c r="E26" s="5" t="s">
        <v>1256</v>
      </c>
    </row>
    <row r="27" spans="1:5" x14ac:dyDescent="0.25">
      <c r="A27" s="19" t="s">
        <v>1257</v>
      </c>
      <c r="B27" s="27">
        <v>1</v>
      </c>
      <c r="C27" s="28">
        <v>0.2</v>
      </c>
      <c r="D27" s="15" t="s">
        <v>1234</v>
      </c>
      <c r="E27" s="5" t="s">
        <v>1258</v>
      </c>
    </row>
    <row r="28" spans="1:5" x14ac:dyDescent="0.25">
      <c r="A28" s="19" t="s">
        <v>1259</v>
      </c>
      <c r="B28" s="27">
        <v>1</v>
      </c>
      <c r="C28" s="28">
        <v>0.2</v>
      </c>
      <c r="D28" s="15" t="s">
        <v>1260</v>
      </c>
      <c r="E28" s="5" t="s">
        <v>1261</v>
      </c>
    </row>
    <row r="29" spans="1:5" x14ac:dyDescent="0.25">
      <c r="A29" s="19" t="s">
        <v>1262</v>
      </c>
      <c r="B29" s="27">
        <v>1</v>
      </c>
      <c r="C29" s="28">
        <v>0.2</v>
      </c>
      <c r="D29" s="15" t="s">
        <v>1234</v>
      </c>
      <c r="E29" s="5" t="s">
        <v>1263</v>
      </c>
    </row>
    <row r="30" spans="1:5" x14ac:dyDescent="0.25">
      <c r="A30" s="19" t="s">
        <v>1264</v>
      </c>
      <c r="B30" s="27">
        <v>1</v>
      </c>
      <c r="C30" s="28">
        <v>0.2</v>
      </c>
      <c r="D30" s="15" t="s">
        <v>1260</v>
      </c>
      <c r="E30" s="5" t="s">
        <v>1265</v>
      </c>
    </row>
    <row r="31" spans="1:5" x14ac:dyDescent="0.25">
      <c r="A31" s="19" t="s">
        <v>1266</v>
      </c>
      <c r="B31" s="27">
        <v>1</v>
      </c>
      <c r="C31" s="28">
        <v>0.2</v>
      </c>
      <c r="D31" s="15" t="s">
        <v>114</v>
      </c>
      <c r="E31" s="5" t="s">
        <v>1267</v>
      </c>
    </row>
    <row r="32" spans="1:5" x14ac:dyDescent="0.25">
      <c r="A32" s="19" t="s">
        <v>1268</v>
      </c>
      <c r="B32" s="27">
        <v>1</v>
      </c>
      <c r="C32" s="28">
        <v>0.2</v>
      </c>
      <c r="D32" s="15" t="s">
        <v>114</v>
      </c>
      <c r="E32" s="5" t="s">
        <v>1269</v>
      </c>
    </row>
    <row r="33" spans="1:5" x14ac:dyDescent="0.25">
      <c r="A33" s="19" t="s">
        <v>1270</v>
      </c>
      <c r="B33" s="27">
        <v>1</v>
      </c>
      <c r="C33" s="28">
        <v>0.2</v>
      </c>
      <c r="D33" s="15" t="s">
        <v>91</v>
      </c>
      <c r="E33" s="5" t="s">
        <v>1271</v>
      </c>
    </row>
    <row r="34" spans="1:5" x14ac:dyDescent="0.25">
      <c r="A34" s="19" t="s">
        <v>1272</v>
      </c>
      <c r="B34" s="27">
        <v>1</v>
      </c>
      <c r="C34" s="28">
        <v>0.1</v>
      </c>
      <c r="D34" s="15" t="s">
        <v>114</v>
      </c>
      <c r="E34" s="5" t="s">
        <v>1273</v>
      </c>
    </row>
    <row r="35" spans="1:5" x14ac:dyDescent="0.25">
      <c r="A35" s="19" t="s">
        <v>1274</v>
      </c>
      <c r="B35" s="27">
        <v>1</v>
      </c>
      <c r="C35" s="28">
        <v>0.1</v>
      </c>
      <c r="D35" s="15" t="s">
        <v>91</v>
      </c>
      <c r="E35" s="5" t="s">
        <v>1275</v>
      </c>
    </row>
    <row r="36" spans="1:5" x14ac:dyDescent="0.25">
      <c r="A36" s="19" t="s">
        <v>1276</v>
      </c>
      <c r="B36" s="27">
        <v>1</v>
      </c>
      <c r="C36" s="28">
        <v>0.1</v>
      </c>
      <c r="D36" s="15" t="s">
        <v>114</v>
      </c>
      <c r="E36" s="5" t="s">
        <v>1277</v>
      </c>
    </row>
    <row r="37" spans="1:5" x14ac:dyDescent="0.25">
      <c r="A37" s="19" t="s">
        <v>1278</v>
      </c>
      <c r="B37" s="27">
        <v>1</v>
      </c>
      <c r="C37" s="28">
        <v>0.1</v>
      </c>
      <c r="D37" s="15" t="s">
        <v>114</v>
      </c>
      <c r="E37" s="5" t="s">
        <v>1279</v>
      </c>
    </row>
    <row r="38" spans="1:5" x14ac:dyDescent="0.25">
      <c r="A38" s="19" t="s">
        <v>1280</v>
      </c>
      <c r="B38" s="27">
        <v>1</v>
      </c>
      <c r="C38" s="28">
        <v>0.1</v>
      </c>
      <c r="D38" s="15" t="s">
        <v>114</v>
      </c>
      <c r="E38" s="5" t="s">
        <v>1281</v>
      </c>
    </row>
    <row r="39" spans="1:5" x14ac:dyDescent="0.25">
      <c r="A39" s="19" t="s">
        <v>1282</v>
      </c>
      <c r="B39" s="27">
        <v>1</v>
      </c>
      <c r="C39" s="28">
        <v>0.1</v>
      </c>
      <c r="D39" s="15" t="s">
        <v>114</v>
      </c>
      <c r="E39" s="5" t="s">
        <v>1283</v>
      </c>
    </row>
    <row r="40" spans="1:5" x14ac:dyDescent="0.25">
      <c r="A40" s="19" t="s">
        <v>1284</v>
      </c>
      <c r="B40" s="27">
        <v>1</v>
      </c>
      <c r="C40" s="28">
        <v>0.1</v>
      </c>
      <c r="D40" s="15" t="s">
        <v>165</v>
      </c>
      <c r="E40" s="5" t="s">
        <v>1285</v>
      </c>
    </row>
    <row r="41" spans="1:5" x14ac:dyDescent="0.25">
      <c r="A41" s="19" t="s">
        <v>1286</v>
      </c>
      <c r="B41" s="27">
        <v>1</v>
      </c>
      <c r="C41" s="28">
        <v>0.1</v>
      </c>
      <c r="D41" s="15" t="s">
        <v>114</v>
      </c>
      <c r="E41" s="5" t="s">
        <v>1287</v>
      </c>
    </row>
    <row r="42" spans="1:5" x14ac:dyDescent="0.25">
      <c r="A42" s="19" t="s">
        <v>1288</v>
      </c>
      <c r="B42" s="27">
        <v>1</v>
      </c>
      <c r="C42" s="28">
        <v>0.1</v>
      </c>
      <c r="D42" s="15" t="s">
        <v>114</v>
      </c>
      <c r="E42" s="5" t="s">
        <v>1289</v>
      </c>
    </row>
    <row r="43" spans="1:5" x14ac:dyDescent="0.25">
      <c r="A43" s="19" t="s">
        <v>1290</v>
      </c>
      <c r="B43" s="27">
        <v>1</v>
      </c>
      <c r="C43" s="28">
        <v>0.1</v>
      </c>
      <c r="D43" s="15" t="s">
        <v>114</v>
      </c>
      <c r="E43" s="5" t="s">
        <v>1291</v>
      </c>
    </row>
    <row r="44" spans="1:5" x14ac:dyDescent="0.25">
      <c r="A44" s="19" t="s">
        <v>1292</v>
      </c>
      <c r="B44" s="27">
        <v>1</v>
      </c>
      <c r="C44" s="28">
        <v>0.1</v>
      </c>
      <c r="D44" s="15" t="s">
        <v>114</v>
      </c>
      <c r="E44" s="5" t="s">
        <v>1293</v>
      </c>
    </row>
    <row r="45" spans="1:5" x14ac:dyDescent="0.25">
      <c r="A45" s="19" t="s">
        <v>1294</v>
      </c>
      <c r="B45" s="27">
        <v>1</v>
      </c>
      <c r="C45" s="28">
        <v>0.1</v>
      </c>
      <c r="D45" s="15" t="s">
        <v>277</v>
      </c>
      <c r="E45" s="5" t="s">
        <v>1295</v>
      </c>
    </row>
    <row r="46" spans="1:5" x14ac:dyDescent="0.25">
      <c r="A46" s="19" t="s">
        <v>1296</v>
      </c>
      <c r="B46" s="27">
        <v>1</v>
      </c>
      <c r="C46" s="28">
        <v>0.1</v>
      </c>
      <c r="D46" s="15" t="s">
        <v>114</v>
      </c>
      <c r="E46" s="5" t="s">
        <v>1297</v>
      </c>
    </row>
    <row r="47" spans="1:5" x14ac:dyDescent="0.25">
      <c r="A47" s="19" t="s">
        <v>1298</v>
      </c>
      <c r="B47" s="27">
        <v>1</v>
      </c>
      <c r="C47" s="28">
        <v>0.1</v>
      </c>
      <c r="D47" s="15" t="s">
        <v>91</v>
      </c>
      <c r="E47" s="5" t="s">
        <v>1299</v>
      </c>
    </row>
    <row r="48" spans="1:5" x14ac:dyDescent="0.25">
      <c r="A48" s="19" t="s">
        <v>1300</v>
      </c>
      <c r="B48" s="27">
        <v>1</v>
      </c>
      <c r="C48" s="28">
        <v>0.1</v>
      </c>
      <c r="D48" s="15" t="s">
        <v>91</v>
      </c>
      <c r="E48" s="5" t="s">
        <v>1301</v>
      </c>
    </row>
    <row r="49" spans="1:5" x14ac:dyDescent="0.25">
      <c r="A49" s="19" t="s">
        <v>1302</v>
      </c>
      <c r="B49" s="27">
        <v>1</v>
      </c>
      <c r="C49" s="28">
        <v>0.1</v>
      </c>
      <c r="D49" s="15" t="s">
        <v>91</v>
      </c>
      <c r="E49" s="5" t="s">
        <v>1303</v>
      </c>
    </row>
    <row r="50" spans="1:5" x14ac:dyDescent="0.25">
      <c r="A50" s="19" t="s">
        <v>1304</v>
      </c>
      <c r="B50" s="27">
        <v>1</v>
      </c>
      <c r="C50" s="28">
        <v>0.1</v>
      </c>
      <c r="D50" s="15" t="s">
        <v>114</v>
      </c>
      <c r="E50" s="5" t="s">
        <v>1305</v>
      </c>
    </row>
    <row r="51" spans="1:5" x14ac:dyDescent="0.25">
      <c r="A51" s="19" t="s">
        <v>1306</v>
      </c>
      <c r="B51" s="27">
        <v>1</v>
      </c>
      <c r="C51" s="28">
        <v>0</v>
      </c>
      <c r="D51" s="15" t="s">
        <v>91</v>
      </c>
      <c r="E51" s="5" t="s">
        <v>1307</v>
      </c>
    </row>
    <row r="52" spans="1:5" x14ac:dyDescent="0.25">
      <c r="A52" s="19" t="s">
        <v>1308</v>
      </c>
      <c r="B52" s="27">
        <v>1</v>
      </c>
      <c r="C52" s="28">
        <v>0</v>
      </c>
      <c r="D52" s="15" t="s">
        <v>114</v>
      </c>
      <c r="E52" s="5" t="s">
        <v>1309</v>
      </c>
    </row>
    <row r="53" spans="1:5" x14ac:dyDescent="0.25">
      <c r="A53" s="19" t="s">
        <v>1310</v>
      </c>
      <c r="B53" s="27">
        <v>1</v>
      </c>
      <c r="C53" s="28">
        <v>0</v>
      </c>
      <c r="D53" s="15" t="s">
        <v>91</v>
      </c>
      <c r="E53" s="5" t="s">
        <v>1311</v>
      </c>
    </row>
    <row r="54" spans="1:5" x14ac:dyDescent="0.25">
      <c r="A54" s="19" t="s">
        <v>1312</v>
      </c>
      <c r="B54" s="27">
        <v>1</v>
      </c>
      <c r="C54" s="28">
        <v>0</v>
      </c>
      <c r="D54" s="15" t="s">
        <v>114</v>
      </c>
      <c r="E54" s="5" t="s">
        <v>1313</v>
      </c>
    </row>
    <row r="55" spans="1:5" x14ac:dyDescent="0.25">
      <c r="A55" s="19" t="s">
        <v>1314</v>
      </c>
      <c r="B55" s="27">
        <v>1</v>
      </c>
      <c r="C55" s="28">
        <v>0</v>
      </c>
      <c r="D55" s="15" t="s">
        <v>91</v>
      </c>
      <c r="E55" s="5" t="s">
        <v>1315</v>
      </c>
    </row>
    <row r="56" spans="1:5" x14ac:dyDescent="0.25">
      <c r="A56" s="19" t="s">
        <v>1316</v>
      </c>
      <c r="B56" s="27">
        <v>1</v>
      </c>
      <c r="C56" s="28">
        <v>0</v>
      </c>
      <c r="D56" s="15" t="s">
        <v>91</v>
      </c>
      <c r="E56" s="5" t="s">
        <v>1317</v>
      </c>
    </row>
    <row r="57" spans="1:5" x14ac:dyDescent="0.25">
      <c r="A57" s="19" t="s">
        <v>1318</v>
      </c>
      <c r="B57" s="27">
        <v>1</v>
      </c>
      <c r="C57" s="28">
        <v>0</v>
      </c>
      <c r="D57" s="15" t="s">
        <v>91</v>
      </c>
      <c r="E57" s="5" t="s">
        <v>1319</v>
      </c>
    </row>
    <row r="58" spans="1:5" x14ac:dyDescent="0.25">
      <c r="A58" s="19" t="s">
        <v>1320</v>
      </c>
      <c r="B58" s="27">
        <v>1</v>
      </c>
      <c r="C58" s="28">
        <v>0</v>
      </c>
      <c r="D58" s="15" t="s">
        <v>114</v>
      </c>
      <c r="E58" s="5" t="s">
        <v>1321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6</vt:i4>
      </vt:variant>
    </vt:vector>
  </HeadingPairs>
  <TitlesOfParts>
    <vt:vector size="13" baseType="lpstr">
      <vt:lpstr>อ่านก่อน</vt:lpstr>
      <vt:lpstr>ตาราง</vt:lpstr>
      <vt:lpstr>คอลัมน์</vt:lpstr>
      <vt:lpstr>ความสัมพันธ์</vt:lpstr>
      <vt:lpstr>View</vt:lpstr>
      <vt:lpstr>อยากรู้อะไร→ดูที่ไหน</vt:lpstr>
      <vt:lpstr>คีย์ใน dash_kv</vt:lpstr>
      <vt:lpstr>View!Print_Titles</vt:lpstr>
      <vt:lpstr>ความสัมพันธ์!Print_Titles</vt:lpstr>
      <vt:lpstr>คอลัมน์!Print_Titles</vt:lpstr>
      <vt:lpstr>'คีย์ใน dash_kv'!Print_Titles</vt:lpstr>
      <vt:lpstr>ตาราง!Print_Titles</vt:lpstr>
      <vt:lpstr>อยากรู้อะไร→ดูที่ไหน!Print_Titles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Wattanakit W</cp:lastModifiedBy>
  <dcterms:created xsi:type="dcterms:W3CDTF">2026-10-03T16:05:15Z</dcterms:created>
  <dcterms:modified xsi:type="dcterms:W3CDTF">2026-10-03T16:05:39Z</dcterms:modified>
</cp:coreProperties>
</file>